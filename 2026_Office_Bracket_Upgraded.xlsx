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noodles/PycharmProjects/March Madness/"/>
    </mc:Choice>
  </mc:AlternateContent>
  <xr:revisionPtr revIDLastSave="0" documentId="13_ncr:1_{45D57A66-514E-4449-A61A-715B7974F5C9}" xr6:coauthVersionLast="47" xr6:coauthVersionMax="47" xr10:uidLastSave="{00000000-0000-0000-0000-000000000000}"/>
  <bookViews>
    <workbookView xWindow="20" yWindow="680" windowWidth="30240" windowHeight="18960" tabRatio="500" activeTab="7" xr2:uid="{00000000-000D-0000-FFFF-FFFF00000000}"/>
  </bookViews>
  <sheets>
    <sheet name="📊 Comparison" sheetId="1" r:id="rId1"/>
    <sheet name="Tucker" sheetId="2" r:id="rId2"/>
    <sheet name="Kim" sheetId="3" r:id="rId3"/>
    <sheet name="Shelly" sheetId="4" r:id="rId4"/>
    <sheet name="Chuck" sheetId="5" r:id="rId5"/>
    <sheet name="Porter" sheetId="6" r:id="rId6"/>
    <sheet name="Raman" sheetId="7" r:id="rId7"/>
    <sheet name="Master_Results" sheetId="8" r:id="rId8"/>
    <sheet name="🏆 Leader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9" l="1"/>
  <c r="C8" i="9"/>
  <c r="C7" i="9"/>
  <c r="C6" i="9"/>
  <c r="C5" i="9"/>
  <c r="C4" i="9"/>
  <c r="G71" i="7"/>
  <c r="F71" i="7"/>
  <c r="G69" i="7"/>
  <c r="F69" i="7"/>
  <c r="G68" i="7"/>
  <c r="F68" i="7"/>
  <c r="F66" i="7"/>
  <c r="G66" i="7" s="1"/>
  <c r="G65" i="7"/>
  <c r="F65" i="7"/>
  <c r="G64" i="7"/>
  <c r="F64" i="7"/>
  <c r="F63" i="7"/>
  <c r="G63" i="7" s="1"/>
  <c r="F61" i="7"/>
  <c r="G61" i="7" s="1"/>
  <c r="G60" i="7"/>
  <c r="F60" i="7"/>
  <c r="G59" i="7"/>
  <c r="F59" i="7"/>
  <c r="G58" i="7"/>
  <c r="F58" i="7"/>
  <c r="F57" i="7"/>
  <c r="G57" i="7" s="1"/>
  <c r="G56" i="7"/>
  <c r="F56" i="7"/>
  <c r="G55" i="7"/>
  <c r="F55" i="7"/>
  <c r="G54" i="7"/>
  <c r="F54" i="7"/>
  <c r="F52" i="7"/>
  <c r="G52" i="7" s="1"/>
  <c r="G51" i="7"/>
  <c r="F51" i="7"/>
  <c r="G50" i="7"/>
  <c r="F50" i="7"/>
  <c r="G49" i="7"/>
  <c r="F49" i="7"/>
  <c r="F48" i="7"/>
  <c r="G48" i="7" s="1"/>
  <c r="G47" i="7"/>
  <c r="F47" i="7"/>
  <c r="G46" i="7"/>
  <c r="F46" i="7"/>
  <c r="G45" i="7"/>
  <c r="F45" i="7"/>
  <c r="F44" i="7"/>
  <c r="G44" i="7" s="1"/>
  <c r="G43" i="7"/>
  <c r="F43" i="7"/>
  <c r="G42" i="7"/>
  <c r="F42" i="7"/>
  <c r="G41" i="7"/>
  <c r="F41" i="7"/>
  <c r="F40" i="7"/>
  <c r="G40" i="7" s="1"/>
  <c r="F39" i="7"/>
  <c r="G39" i="7" s="1"/>
  <c r="G38" i="7"/>
  <c r="F38" i="7"/>
  <c r="G37" i="7"/>
  <c r="F37" i="7"/>
  <c r="F35" i="7"/>
  <c r="G35" i="7" s="1"/>
  <c r="F34" i="7"/>
  <c r="G34" i="7" s="1"/>
  <c r="G33" i="7"/>
  <c r="F33" i="7"/>
  <c r="G32" i="7"/>
  <c r="F32" i="7"/>
  <c r="F31" i="7"/>
  <c r="G31" i="7" s="1"/>
  <c r="F30" i="7"/>
  <c r="G30" i="7" s="1"/>
  <c r="G29" i="7"/>
  <c r="F29" i="7"/>
  <c r="G28" i="7"/>
  <c r="F28" i="7"/>
  <c r="F27" i="7"/>
  <c r="G27" i="7" s="1"/>
  <c r="F26" i="7"/>
  <c r="G26" i="7" s="1"/>
  <c r="G25" i="7"/>
  <c r="F25" i="7"/>
  <c r="G24" i="7"/>
  <c r="F24" i="7"/>
  <c r="G23" i="7"/>
  <c r="F23" i="7"/>
  <c r="F22" i="7"/>
  <c r="G22" i="7" s="1"/>
  <c r="G21" i="7"/>
  <c r="F21" i="7"/>
  <c r="G20" i="7"/>
  <c r="F20" i="7"/>
  <c r="G19" i="7"/>
  <c r="F19" i="7"/>
  <c r="F18" i="7"/>
  <c r="G18" i="7" s="1"/>
  <c r="G17" i="7"/>
  <c r="F17" i="7"/>
  <c r="G16" i="7"/>
  <c r="F16" i="7"/>
  <c r="F15" i="7"/>
  <c r="G15" i="7" s="1"/>
  <c r="F14" i="7"/>
  <c r="G14" i="7" s="1"/>
  <c r="G13" i="7"/>
  <c r="F13" i="7"/>
  <c r="G12" i="7"/>
  <c r="F12" i="7"/>
  <c r="G11" i="7"/>
  <c r="F11" i="7"/>
  <c r="F10" i="7"/>
  <c r="G10" i="7" s="1"/>
  <c r="G9" i="7"/>
  <c r="F9" i="7"/>
  <c r="G8" i="7"/>
  <c r="F8" i="7"/>
  <c r="F7" i="7"/>
  <c r="G7" i="7" s="1"/>
  <c r="F6" i="7"/>
  <c r="G6" i="7" s="1"/>
  <c r="G5" i="7"/>
  <c r="F5" i="7"/>
  <c r="G4" i="7"/>
  <c r="F4" i="7"/>
  <c r="F71" i="6"/>
  <c r="G71" i="6" s="1"/>
  <c r="G69" i="6"/>
  <c r="F69" i="6"/>
  <c r="G68" i="6"/>
  <c r="F68" i="6"/>
  <c r="F66" i="6"/>
  <c r="G66" i="6" s="1"/>
  <c r="F65" i="6"/>
  <c r="G65" i="6" s="1"/>
  <c r="G64" i="6"/>
  <c r="F64" i="6"/>
  <c r="F63" i="6"/>
  <c r="G63" i="6" s="1"/>
  <c r="F61" i="6"/>
  <c r="G61" i="6" s="1"/>
  <c r="F60" i="6"/>
  <c r="G60" i="6" s="1"/>
  <c r="G59" i="6"/>
  <c r="F59" i="6"/>
  <c r="G58" i="6"/>
  <c r="F58" i="6"/>
  <c r="G57" i="6"/>
  <c r="F57" i="6"/>
  <c r="F56" i="6"/>
  <c r="G56" i="6" s="1"/>
  <c r="G55" i="6"/>
  <c r="F55" i="6"/>
  <c r="F54" i="6"/>
  <c r="G54" i="6" s="1"/>
  <c r="G52" i="6"/>
  <c r="F52" i="6"/>
  <c r="F51" i="6"/>
  <c r="G51" i="6" s="1"/>
  <c r="G50" i="6"/>
  <c r="F50" i="6"/>
  <c r="G49" i="6"/>
  <c r="F49" i="6"/>
  <c r="F48" i="6"/>
  <c r="G48" i="6" s="1"/>
  <c r="F47" i="6"/>
  <c r="G47" i="6" s="1"/>
  <c r="G46" i="6"/>
  <c r="F46" i="6"/>
  <c r="G45" i="6"/>
  <c r="F45" i="6"/>
  <c r="G44" i="6"/>
  <c r="F44" i="6"/>
  <c r="F43" i="6"/>
  <c r="G43" i="6" s="1"/>
  <c r="G42" i="6"/>
  <c r="F42" i="6"/>
  <c r="G41" i="6"/>
  <c r="F41" i="6"/>
  <c r="F40" i="6"/>
  <c r="G40" i="6" s="1"/>
  <c r="F39" i="6"/>
  <c r="G39" i="6" s="1"/>
  <c r="G38" i="6"/>
  <c r="F38" i="6"/>
  <c r="G37" i="6"/>
  <c r="F37" i="6"/>
  <c r="F35" i="6"/>
  <c r="G35" i="6" s="1"/>
  <c r="F34" i="6"/>
  <c r="G34" i="6" s="1"/>
  <c r="G33" i="6"/>
  <c r="F33" i="6"/>
  <c r="G32" i="6"/>
  <c r="F32" i="6"/>
  <c r="F31" i="6"/>
  <c r="G31" i="6" s="1"/>
  <c r="F30" i="6"/>
  <c r="G30" i="6" s="1"/>
  <c r="G29" i="6"/>
  <c r="F29" i="6"/>
  <c r="G28" i="6"/>
  <c r="F28" i="6"/>
  <c r="F27" i="6"/>
  <c r="G27" i="6" s="1"/>
  <c r="F26" i="6"/>
  <c r="G26" i="6" s="1"/>
  <c r="G25" i="6"/>
  <c r="F25" i="6"/>
  <c r="G24" i="6"/>
  <c r="F24" i="6"/>
  <c r="G23" i="6"/>
  <c r="F23" i="6"/>
  <c r="F22" i="6"/>
  <c r="G22" i="6" s="1"/>
  <c r="G21" i="6"/>
  <c r="F21" i="6"/>
  <c r="G20" i="6"/>
  <c r="F20" i="6"/>
  <c r="G19" i="6"/>
  <c r="F19" i="6"/>
  <c r="F18" i="6"/>
  <c r="G18" i="6" s="1"/>
  <c r="G17" i="6"/>
  <c r="F17" i="6"/>
  <c r="G16" i="6"/>
  <c r="F16" i="6"/>
  <c r="F15" i="6"/>
  <c r="G15" i="6" s="1"/>
  <c r="F14" i="6"/>
  <c r="G14" i="6" s="1"/>
  <c r="F13" i="6"/>
  <c r="G13" i="6" s="1"/>
  <c r="G12" i="6"/>
  <c r="F12" i="6"/>
  <c r="F11" i="6"/>
  <c r="G73" i="6" s="1"/>
  <c r="D5" i="9" s="1"/>
  <c r="F10" i="6"/>
  <c r="G10" i="6" s="1"/>
  <c r="F9" i="6"/>
  <c r="G9" i="6" s="1"/>
  <c r="G8" i="6"/>
  <c r="F8" i="6"/>
  <c r="F7" i="6"/>
  <c r="G7" i="6" s="1"/>
  <c r="F6" i="6"/>
  <c r="G6" i="6" s="1"/>
  <c r="F5" i="6"/>
  <c r="G5" i="6" s="1"/>
  <c r="G4" i="6"/>
  <c r="F4" i="6"/>
  <c r="H73" i="5"/>
  <c r="E6" i="9" s="1"/>
  <c r="F71" i="5"/>
  <c r="G71" i="5" s="1"/>
  <c r="F69" i="5"/>
  <c r="G69" i="5" s="1"/>
  <c r="G68" i="5"/>
  <c r="F68" i="5"/>
  <c r="F66" i="5"/>
  <c r="G66" i="5" s="1"/>
  <c r="F65" i="5"/>
  <c r="G65" i="5" s="1"/>
  <c r="F64" i="5"/>
  <c r="G64" i="5" s="1"/>
  <c r="G63" i="5"/>
  <c r="F63" i="5"/>
  <c r="F61" i="5"/>
  <c r="G61" i="5" s="1"/>
  <c r="F60" i="5"/>
  <c r="G60" i="5" s="1"/>
  <c r="F59" i="5"/>
  <c r="G59" i="5" s="1"/>
  <c r="G58" i="5"/>
  <c r="F58" i="5"/>
  <c r="F57" i="5"/>
  <c r="G57" i="5" s="1"/>
  <c r="F56" i="5"/>
  <c r="G56" i="5" s="1"/>
  <c r="F55" i="5"/>
  <c r="G55" i="5" s="1"/>
  <c r="F54" i="5"/>
  <c r="G54" i="5" s="1"/>
  <c r="F52" i="5"/>
  <c r="G52" i="5" s="1"/>
  <c r="F51" i="5"/>
  <c r="G51" i="5" s="1"/>
  <c r="F50" i="5"/>
  <c r="G50" i="5" s="1"/>
  <c r="G49" i="5"/>
  <c r="F49" i="5"/>
  <c r="F48" i="5"/>
  <c r="G48" i="5" s="1"/>
  <c r="F47" i="5"/>
  <c r="G47" i="5" s="1"/>
  <c r="F46" i="5"/>
  <c r="G46" i="5" s="1"/>
  <c r="G45" i="5"/>
  <c r="F45" i="5"/>
  <c r="F44" i="5"/>
  <c r="G44" i="5" s="1"/>
  <c r="F43" i="5"/>
  <c r="G43" i="5" s="1"/>
  <c r="F42" i="5"/>
  <c r="G42" i="5" s="1"/>
  <c r="G41" i="5"/>
  <c r="F41" i="5"/>
  <c r="F40" i="5"/>
  <c r="G40" i="5" s="1"/>
  <c r="F39" i="5"/>
  <c r="G39" i="5" s="1"/>
  <c r="F38" i="5"/>
  <c r="G38" i="5" s="1"/>
  <c r="G37" i="5"/>
  <c r="F37" i="5"/>
  <c r="F35" i="5"/>
  <c r="G35" i="5" s="1"/>
  <c r="F34" i="5"/>
  <c r="G34" i="5" s="1"/>
  <c r="F33" i="5"/>
  <c r="G33" i="5" s="1"/>
  <c r="G32" i="5"/>
  <c r="F32" i="5"/>
  <c r="F31" i="5"/>
  <c r="G31" i="5" s="1"/>
  <c r="F30" i="5"/>
  <c r="G30" i="5" s="1"/>
  <c r="F29" i="5"/>
  <c r="G29" i="5" s="1"/>
  <c r="G28" i="5"/>
  <c r="F28" i="5"/>
  <c r="F27" i="5"/>
  <c r="G27" i="5" s="1"/>
  <c r="F26" i="5"/>
  <c r="G26" i="5" s="1"/>
  <c r="F25" i="5"/>
  <c r="G25" i="5" s="1"/>
  <c r="F24" i="5"/>
  <c r="G24" i="5" s="1"/>
  <c r="F23" i="5"/>
  <c r="G23" i="5" s="1"/>
  <c r="F22" i="5"/>
  <c r="G22" i="5" s="1"/>
  <c r="F21" i="5"/>
  <c r="G21" i="5" s="1"/>
  <c r="F20" i="5"/>
  <c r="G20" i="5" s="1"/>
  <c r="F19" i="5"/>
  <c r="G19" i="5" s="1"/>
  <c r="F18" i="5"/>
  <c r="G18" i="5" s="1"/>
  <c r="F17" i="5"/>
  <c r="G17" i="5" s="1"/>
  <c r="F16" i="5"/>
  <c r="G16" i="5" s="1"/>
  <c r="F15" i="5"/>
  <c r="G15" i="5" s="1"/>
  <c r="F14" i="5"/>
  <c r="G14" i="5" s="1"/>
  <c r="F13" i="5"/>
  <c r="G13" i="5" s="1"/>
  <c r="F12" i="5"/>
  <c r="G12" i="5" s="1"/>
  <c r="F11" i="5"/>
  <c r="G11" i="5" s="1"/>
  <c r="F10" i="5"/>
  <c r="G10" i="5" s="1"/>
  <c r="F9" i="5"/>
  <c r="G9" i="5" s="1"/>
  <c r="F8" i="5"/>
  <c r="G8" i="5" s="1"/>
  <c r="F7" i="5"/>
  <c r="G7" i="5" s="1"/>
  <c r="F6" i="5"/>
  <c r="G6" i="5" s="1"/>
  <c r="F5" i="5"/>
  <c r="G5" i="5" s="1"/>
  <c r="F4" i="5"/>
  <c r="G4" i="5" s="1"/>
  <c r="F71" i="4"/>
  <c r="G71" i="4" s="1"/>
  <c r="F69" i="4"/>
  <c r="G69" i="4" s="1"/>
  <c r="F68" i="4"/>
  <c r="G68" i="4" s="1"/>
  <c r="F66" i="4"/>
  <c r="G66" i="4" s="1"/>
  <c r="F65" i="4"/>
  <c r="G65" i="4" s="1"/>
  <c r="F64" i="4"/>
  <c r="G64" i="4" s="1"/>
  <c r="F63" i="4"/>
  <c r="G63" i="4" s="1"/>
  <c r="F61" i="4"/>
  <c r="G61" i="4" s="1"/>
  <c r="F60" i="4"/>
  <c r="G60" i="4" s="1"/>
  <c r="F59" i="4"/>
  <c r="G59" i="4" s="1"/>
  <c r="F58" i="4"/>
  <c r="G58" i="4" s="1"/>
  <c r="F57" i="4"/>
  <c r="G57" i="4" s="1"/>
  <c r="F56" i="4"/>
  <c r="G56" i="4" s="1"/>
  <c r="F55" i="4"/>
  <c r="G55" i="4" s="1"/>
  <c r="F54" i="4"/>
  <c r="G54" i="4" s="1"/>
  <c r="F52" i="4"/>
  <c r="G52" i="4" s="1"/>
  <c r="F51" i="4"/>
  <c r="G51" i="4" s="1"/>
  <c r="F50" i="4"/>
  <c r="G50" i="4" s="1"/>
  <c r="F49" i="4"/>
  <c r="G49" i="4" s="1"/>
  <c r="F48" i="4"/>
  <c r="G48" i="4" s="1"/>
  <c r="F47" i="4"/>
  <c r="G47" i="4" s="1"/>
  <c r="F46" i="4"/>
  <c r="G46" i="4" s="1"/>
  <c r="F45" i="4"/>
  <c r="G45" i="4" s="1"/>
  <c r="F44" i="4"/>
  <c r="G44" i="4" s="1"/>
  <c r="F43" i="4"/>
  <c r="G43" i="4" s="1"/>
  <c r="F42" i="4"/>
  <c r="G42" i="4" s="1"/>
  <c r="F41" i="4"/>
  <c r="G41" i="4" s="1"/>
  <c r="F40" i="4"/>
  <c r="G40" i="4" s="1"/>
  <c r="F39" i="4"/>
  <c r="G39" i="4" s="1"/>
  <c r="F38" i="4"/>
  <c r="G38" i="4" s="1"/>
  <c r="F37" i="4"/>
  <c r="G37" i="4" s="1"/>
  <c r="F35" i="4"/>
  <c r="G35" i="4" s="1"/>
  <c r="F34" i="4"/>
  <c r="G34" i="4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F22" i="4"/>
  <c r="G22" i="4" s="1"/>
  <c r="F21" i="4"/>
  <c r="G21" i="4" s="1"/>
  <c r="F20" i="4"/>
  <c r="G20" i="4" s="1"/>
  <c r="F19" i="4"/>
  <c r="G19" i="4" s="1"/>
  <c r="F18" i="4"/>
  <c r="G18" i="4" s="1"/>
  <c r="F17" i="4"/>
  <c r="G17" i="4" s="1"/>
  <c r="F16" i="4"/>
  <c r="G16" i="4" s="1"/>
  <c r="F15" i="4"/>
  <c r="G15" i="4" s="1"/>
  <c r="F14" i="4"/>
  <c r="G14" i="4" s="1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F7" i="4"/>
  <c r="G7" i="4" s="1"/>
  <c r="F6" i="4"/>
  <c r="G6" i="4" s="1"/>
  <c r="F5" i="4"/>
  <c r="G5" i="4" s="1"/>
  <c r="F4" i="4"/>
  <c r="G4" i="4" s="1"/>
  <c r="F71" i="3"/>
  <c r="G71" i="3" s="1"/>
  <c r="F69" i="3"/>
  <c r="G69" i="3" s="1"/>
  <c r="G68" i="3"/>
  <c r="F68" i="3"/>
  <c r="F66" i="3"/>
  <c r="G66" i="3" s="1"/>
  <c r="F65" i="3"/>
  <c r="G65" i="3" s="1"/>
  <c r="F64" i="3"/>
  <c r="G64" i="3" s="1"/>
  <c r="F63" i="3"/>
  <c r="G63" i="3" s="1"/>
  <c r="F61" i="3"/>
  <c r="G61" i="3" s="1"/>
  <c r="F60" i="3"/>
  <c r="G60" i="3" s="1"/>
  <c r="F59" i="3"/>
  <c r="G59" i="3" s="1"/>
  <c r="F58" i="3"/>
  <c r="G58" i="3" s="1"/>
  <c r="F57" i="3"/>
  <c r="G57" i="3" s="1"/>
  <c r="F56" i="3"/>
  <c r="G56" i="3" s="1"/>
  <c r="F55" i="3"/>
  <c r="G55" i="3" s="1"/>
  <c r="F54" i="3"/>
  <c r="G54" i="3" s="1"/>
  <c r="F52" i="3"/>
  <c r="G52" i="3" s="1"/>
  <c r="F51" i="3"/>
  <c r="G51" i="3" s="1"/>
  <c r="F50" i="3"/>
  <c r="G50" i="3" s="1"/>
  <c r="F49" i="3"/>
  <c r="G49" i="3" s="1"/>
  <c r="F48" i="3"/>
  <c r="G48" i="3" s="1"/>
  <c r="F47" i="3"/>
  <c r="G47" i="3" s="1"/>
  <c r="F46" i="3"/>
  <c r="G46" i="3" s="1"/>
  <c r="F45" i="3"/>
  <c r="G45" i="3" s="1"/>
  <c r="F44" i="3"/>
  <c r="G44" i="3" s="1"/>
  <c r="F43" i="3"/>
  <c r="G43" i="3" s="1"/>
  <c r="F42" i="3"/>
  <c r="G42" i="3" s="1"/>
  <c r="F41" i="3"/>
  <c r="G41" i="3" s="1"/>
  <c r="F40" i="3"/>
  <c r="G40" i="3" s="1"/>
  <c r="F39" i="3"/>
  <c r="G39" i="3" s="1"/>
  <c r="F38" i="3"/>
  <c r="G38" i="3" s="1"/>
  <c r="F37" i="3"/>
  <c r="G37" i="3" s="1"/>
  <c r="F35" i="3"/>
  <c r="G35" i="3" s="1"/>
  <c r="F34" i="3"/>
  <c r="G34" i="3" s="1"/>
  <c r="F33" i="3"/>
  <c r="G33" i="3" s="1"/>
  <c r="F32" i="3"/>
  <c r="G32" i="3" s="1"/>
  <c r="F31" i="3"/>
  <c r="G31" i="3" s="1"/>
  <c r="F30" i="3"/>
  <c r="G30" i="3" s="1"/>
  <c r="F29" i="3"/>
  <c r="G29" i="3" s="1"/>
  <c r="F28" i="3"/>
  <c r="G28" i="3" s="1"/>
  <c r="F27" i="3"/>
  <c r="G27" i="3" s="1"/>
  <c r="F26" i="3"/>
  <c r="G26" i="3" s="1"/>
  <c r="F25" i="3"/>
  <c r="G25" i="3" s="1"/>
  <c r="F24" i="3"/>
  <c r="G24" i="3" s="1"/>
  <c r="F23" i="3"/>
  <c r="G23" i="3" s="1"/>
  <c r="F22" i="3"/>
  <c r="G22" i="3" s="1"/>
  <c r="F21" i="3"/>
  <c r="G21" i="3" s="1"/>
  <c r="F20" i="3"/>
  <c r="G20" i="3" s="1"/>
  <c r="F19" i="3"/>
  <c r="G19" i="3" s="1"/>
  <c r="F18" i="3"/>
  <c r="G18" i="3" s="1"/>
  <c r="F17" i="3"/>
  <c r="G17" i="3" s="1"/>
  <c r="F16" i="3"/>
  <c r="G16" i="3" s="1"/>
  <c r="F15" i="3"/>
  <c r="G15" i="3" s="1"/>
  <c r="F14" i="3"/>
  <c r="G14" i="3" s="1"/>
  <c r="F13" i="3"/>
  <c r="G13" i="3" s="1"/>
  <c r="F12" i="3"/>
  <c r="G12" i="3" s="1"/>
  <c r="F11" i="3"/>
  <c r="G11" i="3" s="1"/>
  <c r="F10" i="3"/>
  <c r="G10" i="3" s="1"/>
  <c r="F9" i="3"/>
  <c r="G9" i="3" s="1"/>
  <c r="F8" i="3"/>
  <c r="G8" i="3" s="1"/>
  <c r="F7" i="3"/>
  <c r="G7" i="3" s="1"/>
  <c r="F6" i="3"/>
  <c r="G6" i="3" s="1"/>
  <c r="F5" i="3"/>
  <c r="G5" i="3" s="1"/>
  <c r="F4" i="3"/>
  <c r="G4" i="3" s="1"/>
  <c r="G73" i="2"/>
  <c r="D9" i="9" s="1"/>
  <c r="F71" i="2"/>
  <c r="G71" i="2" s="1"/>
  <c r="F69" i="2"/>
  <c r="G69" i="2" s="1"/>
  <c r="F68" i="2"/>
  <c r="G68" i="2" s="1"/>
  <c r="F66" i="2"/>
  <c r="G66" i="2" s="1"/>
  <c r="F65" i="2"/>
  <c r="G65" i="2" s="1"/>
  <c r="F64" i="2"/>
  <c r="G64" i="2" s="1"/>
  <c r="F63" i="2"/>
  <c r="G63" i="2" s="1"/>
  <c r="F61" i="2"/>
  <c r="G61" i="2" s="1"/>
  <c r="F60" i="2"/>
  <c r="G60" i="2" s="1"/>
  <c r="F59" i="2"/>
  <c r="G59" i="2" s="1"/>
  <c r="F58" i="2"/>
  <c r="G58" i="2" s="1"/>
  <c r="F57" i="2"/>
  <c r="G57" i="2" s="1"/>
  <c r="F56" i="2"/>
  <c r="G56" i="2" s="1"/>
  <c r="F55" i="2"/>
  <c r="G55" i="2" s="1"/>
  <c r="F54" i="2"/>
  <c r="G54" i="2" s="1"/>
  <c r="F52" i="2"/>
  <c r="G52" i="2" s="1"/>
  <c r="F51" i="2"/>
  <c r="G51" i="2" s="1"/>
  <c r="F50" i="2"/>
  <c r="G50" i="2" s="1"/>
  <c r="F49" i="2"/>
  <c r="G49" i="2" s="1"/>
  <c r="F48" i="2"/>
  <c r="G48" i="2" s="1"/>
  <c r="F47" i="2"/>
  <c r="G47" i="2" s="1"/>
  <c r="F46" i="2"/>
  <c r="G46" i="2" s="1"/>
  <c r="F45" i="2"/>
  <c r="G45" i="2" s="1"/>
  <c r="F44" i="2"/>
  <c r="G44" i="2" s="1"/>
  <c r="F43" i="2"/>
  <c r="G43" i="2" s="1"/>
  <c r="F42" i="2"/>
  <c r="G42" i="2" s="1"/>
  <c r="F41" i="2"/>
  <c r="G41" i="2" s="1"/>
  <c r="F40" i="2"/>
  <c r="G40" i="2" s="1"/>
  <c r="F39" i="2"/>
  <c r="G39" i="2" s="1"/>
  <c r="F38" i="2"/>
  <c r="G38" i="2" s="1"/>
  <c r="F37" i="2"/>
  <c r="G37" i="2" s="1"/>
  <c r="F35" i="2"/>
  <c r="G35" i="2" s="1"/>
  <c r="F34" i="2"/>
  <c r="G34" i="2" s="1"/>
  <c r="F33" i="2"/>
  <c r="G33" i="2" s="1"/>
  <c r="G32" i="2"/>
  <c r="F32" i="2"/>
  <c r="F31" i="2"/>
  <c r="G31" i="2" s="1"/>
  <c r="F30" i="2"/>
  <c r="G30" i="2" s="1"/>
  <c r="F29" i="2"/>
  <c r="G29" i="2" s="1"/>
  <c r="F28" i="2"/>
  <c r="G28" i="2" s="1"/>
  <c r="G27" i="2"/>
  <c r="F27" i="2"/>
  <c r="F26" i="2"/>
  <c r="G26" i="2" s="1"/>
  <c r="F25" i="2"/>
  <c r="G25" i="2" s="1"/>
  <c r="F24" i="2"/>
  <c r="G24" i="2" s="1"/>
  <c r="G23" i="2"/>
  <c r="F23" i="2"/>
  <c r="F22" i="2"/>
  <c r="G22" i="2" s="1"/>
  <c r="F21" i="2"/>
  <c r="G21" i="2" s="1"/>
  <c r="G20" i="2"/>
  <c r="F20" i="2"/>
  <c r="F19" i="2"/>
  <c r="G19" i="2" s="1"/>
  <c r="G18" i="2"/>
  <c r="F18" i="2"/>
  <c r="F17" i="2"/>
  <c r="G17" i="2" s="1"/>
  <c r="F16" i="2"/>
  <c r="G16" i="2" s="1"/>
  <c r="F15" i="2"/>
  <c r="G15" i="2" s="1"/>
  <c r="G14" i="2"/>
  <c r="F14" i="2"/>
  <c r="F13" i="2"/>
  <c r="G13" i="2" s="1"/>
  <c r="F12" i="2"/>
  <c r="G12" i="2" s="1"/>
  <c r="G11" i="2"/>
  <c r="F11" i="2"/>
  <c r="F10" i="2"/>
  <c r="G10" i="2" s="1"/>
  <c r="F9" i="2"/>
  <c r="G9" i="2" s="1"/>
  <c r="F8" i="2"/>
  <c r="G8" i="2" s="1"/>
  <c r="F7" i="2"/>
  <c r="F6" i="2"/>
  <c r="G6" i="2" s="1"/>
  <c r="F5" i="2"/>
  <c r="G5" i="2" s="1"/>
  <c r="G4" i="2"/>
  <c r="F4" i="2"/>
  <c r="I71" i="1"/>
  <c r="H71" i="1"/>
  <c r="G71" i="1"/>
  <c r="F71" i="1"/>
  <c r="E71" i="1"/>
  <c r="D71" i="1"/>
  <c r="C71" i="1"/>
  <c r="I69" i="1"/>
  <c r="H69" i="1"/>
  <c r="G69" i="1"/>
  <c r="F69" i="1"/>
  <c r="E69" i="1"/>
  <c r="D69" i="1"/>
  <c r="C69" i="1"/>
  <c r="I68" i="1"/>
  <c r="H68" i="1"/>
  <c r="G68" i="1"/>
  <c r="F68" i="1"/>
  <c r="E68" i="1"/>
  <c r="D68" i="1"/>
  <c r="C68" i="1"/>
  <c r="I66" i="1"/>
  <c r="H66" i="1"/>
  <c r="G66" i="1"/>
  <c r="F66" i="1"/>
  <c r="E66" i="1"/>
  <c r="D66" i="1"/>
  <c r="C66" i="1"/>
  <c r="I65" i="1"/>
  <c r="H65" i="1"/>
  <c r="G65" i="1"/>
  <c r="F65" i="1"/>
  <c r="E65" i="1"/>
  <c r="D65" i="1"/>
  <c r="C65" i="1"/>
  <c r="I64" i="1"/>
  <c r="H64" i="1"/>
  <c r="G64" i="1"/>
  <c r="F64" i="1"/>
  <c r="E64" i="1"/>
  <c r="D64" i="1"/>
  <c r="C64" i="1"/>
  <c r="I63" i="1"/>
  <c r="H63" i="1"/>
  <c r="G63" i="1"/>
  <c r="F63" i="1"/>
  <c r="E63" i="1"/>
  <c r="D63" i="1"/>
  <c r="C63" i="1"/>
  <c r="I61" i="1"/>
  <c r="H61" i="1"/>
  <c r="G61" i="1"/>
  <c r="F61" i="1"/>
  <c r="E61" i="1"/>
  <c r="D61" i="1"/>
  <c r="C61" i="1"/>
  <c r="I60" i="1"/>
  <c r="H60" i="1"/>
  <c r="G60" i="1"/>
  <c r="F60" i="1"/>
  <c r="E60" i="1"/>
  <c r="D60" i="1"/>
  <c r="C60" i="1"/>
  <c r="I59" i="1"/>
  <c r="H59" i="1"/>
  <c r="G59" i="1"/>
  <c r="F59" i="1"/>
  <c r="E59" i="1"/>
  <c r="D59" i="1"/>
  <c r="C59" i="1"/>
  <c r="I58" i="1"/>
  <c r="H58" i="1"/>
  <c r="G58" i="1"/>
  <c r="F58" i="1"/>
  <c r="E58" i="1"/>
  <c r="D58" i="1"/>
  <c r="C58" i="1"/>
  <c r="I57" i="1"/>
  <c r="H57" i="1"/>
  <c r="G57" i="1"/>
  <c r="F57" i="1"/>
  <c r="E57" i="1"/>
  <c r="D57" i="1"/>
  <c r="C57" i="1"/>
  <c r="I56" i="1"/>
  <c r="H56" i="1"/>
  <c r="G56" i="1"/>
  <c r="F56" i="1"/>
  <c r="E56" i="1"/>
  <c r="D56" i="1"/>
  <c r="C56" i="1"/>
  <c r="I55" i="1"/>
  <c r="H55" i="1"/>
  <c r="G55" i="1"/>
  <c r="F55" i="1"/>
  <c r="E55" i="1"/>
  <c r="D55" i="1"/>
  <c r="C55" i="1"/>
  <c r="I54" i="1"/>
  <c r="H54" i="1"/>
  <c r="G54" i="1"/>
  <c r="F54" i="1"/>
  <c r="E54" i="1"/>
  <c r="D54" i="1"/>
  <c r="C54" i="1"/>
  <c r="I52" i="1"/>
  <c r="H52" i="1"/>
  <c r="G52" i="1"/>
  <c r="F52" i="1"/>
  <c r="E52" i="1"/>
  <c r="D52" i="1"/>
  <c r="C52" i="1"/>
  <c r="I51" i="1"/>
  <c r="H51" i="1"/>
  <c r="G51" i="1"/>
  <c r="F51" i="1"/>
  <c r="E51" i="1"/>
  <c r="D51" i="1"/>
  <c r="C51" i="1"/>
  <c r="I50" i="1"/>
  <c r="H50" i="1"/>
  <c r="G50" i="1"/>
  <c r="F50" i="1"/>
  <c r="E50" i="1"/>
  <c r="D50" i="1"/>
  <c r="C50" i="1"/>
  <c r="I49" i="1"/>
  <c r="H49" i="1"/>
  <c r="G49" i="1"/>
  <c r="F49" i="1"/>
  <c r="E49" i="1"/>
  <c r="D49" i="1"/>
  <c r="C49" i="1"/>
  <c r="I48" i="1"/>
  <c r="H48" i="1"/>
  <c r="G48" i="1"/>
  <c r="F48" i="1"/>
  <c r="E48" i="1"/>
  <c r="D48" i="1"/>
  <c r="C48" i="1"/>
  <c r="I47" i="1"/>
  <c r="H47" i="1"/>
  <c r="G47" i="1"/>
  <c r="F47" i="1"/>
  <c r="E47" i="1"/>
  <c r="D47" i="1"/>
  <c r="C47" i="1"/>
  <c r="I46" i="1"/>
  <c r="H46" i="1"/>
  <c r="G46" i="1"/>
  <c r="F46" i="1"/>
  <c r="E46" i="1"/>
  <c r="D46" i="1"/>
  <c r="C46" i="1"/>
  <c r="I45" i="1"/>
  <c r="H45" i="1"/>
  <c r="G45" i="1"/>
  <c r="F45" i="1"/>
  <c r="E45" i="1"/>
  <c r="D45" i="1"/>
  <c r="C45" i="1"/>
  <c r="I44" i="1"/>
  <c r="H44" i="1"/>
  <c r="G44" i="1"/>
  <c r="F44" i="1"/>
  <c r="E44" i="1"/>
  <c r="D44" i="1"/>
  <c r="C44" i="1"/>
  <c r="I43" i="1"/>
  <c r="H43" i="1"/>
  <c r="G43" i="1"/>
  <c r="F43" i="1"/>
  <c r="E43" i="1"/>
  <c r="D43" i="1"/>
  <c r="C43" i="1"/>
  <c r="I42" i="1"/>
  <c r="H42" i="1"/>
  <c r="G42" i="1"/>
  <c r="F42" i="1"/>
  <c r="E42" i="1"/>
  <c r="D42" i="1"/>
  <c r="C42" i="1"/>
  <c r="I41" i="1"/>
  <c r="H41" i="1"/>
  <c r="G41" i="1"/>
  <c r="F41" i="1"/>
  <c r="E41" i="1"/>
  <c r="D41" i="1"/>
  <c r="C41" i="1"/>
  <c r="I40" i="1"/>
  <c r="H40" i="1"/>
  <c r="G40" i="1"/>
  <c r="F40" i="1"/>
  <c r="E40" i="1"/>
  <c r="D40" i="1"/>
  <c r="C40" i="1"/>
  <c r="I39" i="1"/>
  <c r="H39" i="1"/>
  <c r="G39" i="1"/>
  <c r="F39" i="1"/>
  <c r="E39" i="1"/>
  <c r="D39" i="1"/>
  <c r="C39" i="1"/>
  <c r="I38" i="1"/>
  <c r="H38" i="1"/>
  <c r="G38" i="1"/>
  <c r="F38" i="1"/>
  <c r="E38" i="1"/>
  <c r="D38" i="1"/>
  <c r="C38" i="1"/>
  <c r="I37" i="1"/>
  <c r="H37" i="1"/>
  <c r="G37" i="1"/>
  <c r="F37" i="1"/>
  <c r="E37" i="1"/>
  <c r="D37" i="1"/>
  <c r="C37" i="1"/>
  <c r="I35" i="1"/>
  <c r="H35" i="1"/>
  <c r="G35" i="1"/>
  <c r="F35" i="1"/>
  <c r="E35" i="1"/>
  <c r="D35" i="1"/>
  <c r="C35" i="1"/>
  <c r="I34" i="1"/>
  <c r="H34" i="1"/>
  <c r="G34" i="1"/>
  <c r="F34" i="1"/>
  <c r="E34" i="1"/>
  <c r="D34" i="1"/>
  <c r="C34" i="1"/>
  <c r="I33" i="1"/>
  <c r="H33" i="1"/>
  <c r="G33" i="1"/>
  <c r="F33" i="1"/>
  <c r="E33" i="1"/>
  <c r="D33" i="1"/>
  <c r="C33" i="1"/>
  <c r="I32" i="1"/>
  <c r="H32" i="1"/>
  <c r="G32" i="1"/>
  <c r="F32" i="1"/>
  <c r="E32" i="1"/>
  <c r="D32" i="1"/>
  <c r="C32" i="1"/>
  <c r="I31" i="1"/>
  <c r="H31" i="1"/>
  <c r="G31" i="1"/>
  <c r="F31" i="1"/>
  <c r="E31" i="1"/>
  <c r="D31" i="1"/>
  <c r="C31" i="1"/>
  <c r="I30" i="1"/>
  <c r="H30" i="1"/>
  <c r="G30" i="1"/>
  <c r="F30" i="1"/>
  <c r="E30" i="1"/>
  <c r="D30" i="1"/>
  <c r="C30" i="1"/>
  <c r="I29" i="1"/>
  <c r="H29" i="1"/>
  <c r="G29" i="1"/>
  <c r="F29" i="1"/>
  <c r="E29" i="1"/>
  <c r="D29" i="1"/>
  <c r="C29" i="1"/>
  <c r="I28" i="1"/>
  <c r="H28" i="1"/>
  <c r="G28" i="1"/>
  <c r="F28" i="1"/>
  <c r="E28" i="1"/>
  <c r="D28" i="1"/>
  <c r="C28" i="1"/>
  <c r="I27" i="1"/>
  <c r="H27" i="1"/>
  <c r="G27" i="1"/>
  <c r="F27" i="1"/>
  <c r="E27" i="1"/>
  <c r="D27" i="1"/>
  <c r="C27" i="1"/>
  <c r="I26" i="1"/>
  <c r="H26" i="1"/>
  <c r="G26" i="1"/>
  <c r="F26" i="1"/>
  <c r="E26" i="1"/>
  <c r="D26" i="1"/>
  <c r="C26" i="1"/>
  <c r="I25" i="1"/>
  <c r="H25" i="1"/>
  <c r="G25" i="1"/>
  <c r="F25" i="1"/>
  <c r="E25" i="1"/>
  <c r="D25" i="1"/>
  <c r="C25" i="1"/>
  <c r="I24" i="1"/>
  <c r="H24" i="1"/>
  <c r="G24" i="1"/>
  <c r="F24" i="1"/>
  <c r="E24" i="1"/>
  <c r="D24" i="1"/>
  <c r="C24" i="1"/>
  <c r="I23" i="1"/>
  <c r="H23" i="1"/>
  <c r="G23" i="1"/>
  <c r="F23" i="1"/>
  <c r="E23" i="1"/>
  <c r="D23" i="1"/>
  <c r="C23" i="1"/>
  <c r="I22" i="1"/>
  <c r="H22" i="1"/>
  <c r="G22" i="1"/>
  <c r="F22" i="1"/>
  <c r="E22" i="1"/>
  <c r="D22" i="1"/>
  <c r="C22" i="1"/>
  <c r="I21" i="1"/>
  <c r="H21" i="1"/>
  <c r="G21" i="1"/>
  <c r="F21" i="1"/>
  <c r="E21" i="1"/>
  <c r="D21" i="1"/>
  <c r="C21" i="1"/>
  <c r="I20" i="1"/>
  <c r="H20" i="1"/>
  <c r="G20" i="1"/>
  <c r="F20" i="1"/>
  <c r="E20" i="1"/>
  <c r="D20" i="1"/>
  <c r="C20" i="1"/>
  <c r="I19" i="1"/>
  <c r="H19" i="1"/>
  <c r="G19" i="1"/>
  <c r="F19" i="1"/>
  <c r="E19" i="1"/>
  <c r="D19" i="1"/>
  <c r="C19" i="1"/>
  <c r="I18" i="1"/>
  <c r="H18" i="1"/>
  <c r="G18" i="1"/>
  <c r="F18" i="1"/>
  <c r="E18" i="1"/>
  <c r="D18" i="1"/>
  <c r="C18" i="1"/>
  <c r="I17" i="1"/>
  <c r="H17" i="1"/>
  <c r="G17" i="1"/>
  <c r="F17" i="1"/>
  <c r="E17" i="1"/>
  <c r="D17" i="1"/>
  <c r="C17" i="1"/>
  <c r="I16" i="1"/>
  <c r="H16" i="1"/>
  <c r="G16" i="1"/>
  <c r="F16" i="1"/>
  <c r="E16" i="1"/>
  <c r="D16" i="1"/>
  <c r="C16" i="1"/>
  <c r="I15" i="1"/>
  <c r="H15" i="1"/>
  <c r="G15" i="1"/>
  <c r="F15" i="1"/>
  <c r="E15" i="1"/>
  <c r="D15" i="1"/>
  <c r="C15" i="1"/>
  <c r="I14" i="1"/>
  <c r="H14" i="1"/>
  <c r="G14" i="1"/>
  <c r="F14" i="1"/>
  <c r="E14" i="1"/>
  <c r="D14" i="1"/>
  <c r="C14" i="1"/>
  <c r="I13" i="1"/>
  <c r="H13" i="1"/>
  <c r="G13" i="1"/>
  <c r="F13" i="1"/>
  <c r="E13" i="1"/>
  <c r="D13" i="1"/>
  <c r="C13" i="1"/>
  <c r="I12" i="1"/>
  <c r="H12" i="1"/>
  <c r="G12" i="1"/>
  <c r="F12" i="1"/>
  <c r="E12" i="1"/>
  <c r="D12" i="1"/>
  <c r="C12" i="1"/>
  <c r="I11" i="1"/>
  <c r="H11" i="1"/>
  <c r="G11" i="1"/>
  <c r="F11" i="1"/>
  <c r="E11" i="1"/>
  <c r="D11" i="1"/>
  <c r="C11" i="1"/>
  <c r="I10" i="1"/>
  <c r="H10" i="1"/>
  <c r="G10" i="1"/>
  <c r="F10" i="1"/>
  <c r="E10" i="1"/>
  <c r="D10" i="1"/>
  <c r="C10" i="1"/>
  <c r="I9" i="1"/>
  <c r="H9" i="1"/>
  <c r="G9" i="1"/>
  <c r="F9" i="1"/>
  <c r="E9" i="1"/>
  <c r="D9" i="1"/>
  <c r="C9" i="1"/>
  <c r="I8" i="1"/>
  <c r="H8" i="1"/>
  <c r="G8" i="1"/>
  <c r="F8" i="1"/>
  <c r="E8" i="1"/>
  <c r="D8" i="1"/>
  <c r="C8" i="1"/>
  <c r="I7" i="1"/>
  <c r="H7" i="1"/>
  <c r="G7" i="1"/>
  <c r="F7" i="1"/>
  <c r="E7" i="1"/>
  <c r="D7" i="1"/>
  <c r="C7" i="1"/>
  <c r="I6" i="1"/>
  <c r="H6" i="1"/>
  <c r="G6" i="1"/>
  <c r="F6" i="1"/>
  <c r="E6" i="1"/>
  <c r="D6" i="1"/>
  <c r="C6" i="1"/>
  <c r="I5" i="1"/>
  <c r="H5" i="1"/>
  <c r="G5" i="1"/>
  <c r="F5" i="1"/>
  <c r="E5" i="1"/>
  <c r="D5" i="1"/>
  <c r="C5" i="1"/>
  <c r="I4" i="1"/>
  <c r="H4" i="1"/>
  <c r="G4" i="1"/>
  <c r="F4" i="1"/>
  <c r="E4" i="1"/>
  <c r="D4" i="1"/>
  <c r="C4" i="1"/>
  <c r="H73" i="2" l="1"/>
  <c r="E9" i="9" s="1"/>
  <c r="G73" i="3"/>
  <c r="D8" i="9" s="1"/>
  <c r="H73" i="3"/>
  <c r="E8" i="9" s="1"/>
  <c r="F8" i="9" s="1"/>
  <c r="F9" i="9"/>
  <c r="G7" i="2"/>
  <c r="H73" i="4"/>
  <c r="E7" i="9" s="1"/>
  <c r="G73" i="7"/>
  <c r="D4" i="9" s="1"/>
  <c r="A8" i="9" s="1"/>
  <c r="H73" i="7"/>
  <c r="E4" i="9" s="1"/>
  <c r="G11" i="6"/>
  <c r="H73" i="6"/>
  <c r="E5" i="9" s="1"/>
  <c r="F5" i="9" s="1"/>
  <c r="G73" i="4"/>
  <c r="D7" i="9" s="1"/>
  <c r="G73" i="5"/>
  <c r="D6" i="9" s="1"/>
  <c r="A6" i="9" l="1"/>
  <c r="F6" i="9"/>
  <c r="F7" i="9"/>
  <c r="A7" i="9"/>
  <c r="A9" i="9"/>
  <c r="F4" i="9"/>
  <c r="A4" i="9"/>
  <c r="A5" i="9"/>
</calcChain>
</file>

<file path=xl/sharedStrings.xml><?xml version="1.0" encoding="utf-8"?>
<sst xmlns="http://schemas.openxmlformats.org/spreadsheetml/2006/main" count="2037" uniqueCount="217">
  <si>
    <t>📊  HEAD-TO-HEAD PICK COMPARISON — All Participants</t>
  </si>
  <si>
    <t>Round</t>
  </si>
  <si>
    <t>Matchup</t>
  </si>
  <si>
    <t>Actual Winner</t>
  </si>
  <si>
    <t>Raman</t>
  </si>
  <si>
    <t>Porter</t>
  </si>
  <si>
    <t>Chuck</t>
  </si>
  <si>
    <t>Shelly</t>
  </si>
  <si>
    <t>Kim</t>
  </si>
  <si>
    <t>Tucker</t>
  </si>
  <si>
    <t xml:space="preserve">  ▸  ROUND OF 64</t>
  </si>
  <si>
    <t>Round of 64</t>
  </si>
  <si>
    <t>(1) Duke vs (16) Siena</t>
  </si>
  <si>
    <t>(8) Ohio St vs (9) TCU</t>
  </si>
  <si>
    <t>(5) St. John's vs (12) Northern Iowa</t>
  </si>
  <si>
    <t>(4) Kansas vs (13) Cal Baptist</t>
  </si>
  <si>
    <t>(6) Louisville vs (11) South Florida</t>
  </si>
  <si>
    <t>(3) Michigan St vs (14) ND State</t>
  </si>
  <si>
    <t>(7) UCLA vs (10) UCF</t>
  </si>
  <si>
    <t>(2) UConn vs (15) Furman</t>
  </si>
  <si>
    <t>(1) Florida vs (16) Prairie View A&amp;M</t>
  </si>
  <si>
    <t>(8) Clemson vs (9) Iowa</t>
  </si>
  <si>
    <t>(5) Vandy vs (12) McNeese</t>
  </si>
  <si>
    <t>(4) Nebraska vs (13) Troy</t>
  </si>
  <si>
    <t>(6) North Carolina vs (11) VCU</t>
  </si>
  <si>
    <t>(3) Illinois vs (14) Penn</t>
  </si>
  <si>
    <t>(7) St. Mary's vs (10) Texas A&amp;M</t>
  </si>
  <si>
    <t>(2) Houston vs (15) Idaho</t>
  </si>
  <si>
    <t>(1) Arizona vs (16) Long Island</t>
  </si>
  <si>
    <t>(8) Villanova vs (9) Utah St</t>
  </si>
  <si>
    <t>(5) Wisconsin vs (12) High Point</t>
  </si>
  <si>
    <t>(4) Arkansas vs (13) Hawai'i</t>
  </si>
  <si>
    <t>(6) BYU vs (11) Texas</t>
  </si>
  <si>
    <t>(3) Gonzaga vs (14) Kennesaw St</t>
  </si>
  <si>
    <t>(7) Miami (FL) vs (10) Missouri</t>
  </si>
  <si>
    <t>(2) Purdue vs (15) Queens</t>
  </si>
  <si>
    <t>(1) Michigan vs (16) Howard</t>
  </si>
  <si>
    <t>(8) Georgia vs (9) St. Louis</t>
  </si>
  <si>
    <t>(5) Texas Tech vs (12) Akron</t>
  </si>
  <si>
    <t>(4) Alabama vs (13) Hofstra</t>
  </si>
  <si>
    <t>(6) Tennessee vs (11) Miami (OH)</t>
  </si>
  <si>
    <t>(3) Virginia vs (14) Wright St</t>
  </si>
  <si>
    <t>(7) Kentucky vs (10) Santa Clara</t>
  </si>
  <si>
    <t>(2) Iowa St vs (15) Tenn St</t>
  </si>
  <si>
    <t xml:space="preserve">  ▸  ROUND OF 32</t>
  </si>
  <si>
    <t>Round of 32</t>
  </si>
  <si>
    <t>Winner Game 1 &amp; 2</t>
  </si>
  <si>
    <t>Winner Game 3 &amp; 4</t>
  </si>
  <si>
    <t>Winner Game 5 &amp; 6</t>
  </si>
  <si>
    <t>Winner Game 7 &amp; 8</t>
  </si>
  <si>
    <t>Winner Game 9 &amp; 10</t>
  </si>
  <si>
    <t>Winner Game 11 &amp; 12</t>
  </si>
  <si>
    <t>Winner Game 13 &amp; 14</t>
  </si>
  <si>
    <t>Winner Game 15 &amp; 16</t>
  </si>
  <si>
    <t>Winner Game 17 &amp; 18</t>
  </si>
  <si>
    <t>Winner Game 19 &amp; 20</t>
  </si>
  <si>
    <t>Winner Game 21 &amp; 22</t>
  </si>
  <si>
    <t>Winner Game 23 &amp; 24</t>
  </si>
  <si>
    <t>Winner Game 25 &amp; 26</t>
  </si>
  <si>
    <t>Winner Game 27 &amp; 28</t>
  </si>
  <si>
    <t>Winner Game 29 &amp; 30</t>
  </si>
  <si>
    <t>Winner Game 31 &amp; 32</t>
  </si>
  <si>
    <t xml:space="preserve">  ▸  SWEET 16</t>
  </si>
  <si>
    <t>Sweet 16</t>
  </si>
  <si>
    <t xml:space="preserve">  ▸  ELITE 8</t>
  </si>
  <si>
    <t>Elite 8</t>
  </si>
  <si>
    <t xml:space="preserve">  ▸  FINAL 4</t>
  </si>
  <si>
    <t>Final 4</t>
  </si>
  <si>
    <t xml:space="preserve">  ▸  CHAMPIONSHIP</t>
  </si>
  <si>
    <t>Championship</t>
  </si>
  <si>
    <t>🏀  TUCKER'S 2026 MARCH MADNESS BRACKET</t>
  </si>
  <si>
    <t>Game ID</t>
  </si>
  <si>
    <t>Pick</t>
  </si>
  <si>
    <t>Pts Value</t>
  </si>
  <si>
    <t>Result</t>
  </si>
  <si>
    <t>Pts Earned</t>
  </si>
  <si>
    <t xml:space="preserve">  ▸  ROUND OF 64  •  1 pt each</t>
  </si>
  <si>
    <t>R64_G1</t>
  </si>
  <si>
    <t>Duke</t>
  </si>
  <si>
    <t>R64_G2</t>
  </si>
  <si>
    <t>TCU</t>
  </si>
  <si>
    <t>R64_G3</t>
  </si>
  <si>
    <t>St. John</t>
  </si>
  <si>
    <t>R64_G4</t>
  </si>
  <si>
    <t>Kansas</t>
  </si>
  <si>
    <t>R64_G5</t>
  </si>
  <si>
    <t>South Florida</t>
  </si>
  <si>
    <t>R64_G6</t>
  </si>
  <si>
    <t>Michigan St</t>
  </si>
  <si>
    <t>R64_G7</t>
  </si>
  <si>
    <t>UCF</t>
  </si>
  <si>
    <t>R64_G8</t>
  </si>
  <si>
    <t>UConn</t>
  </si>
  <si>
    <t>R64_G9</t>
  </si>
  <si>
    <t>Florida</t>
  </si>
  <si>
    <t>R64_G10</t>
  </si>
  <si>
    <t>Iowa</t>
  </si>
  <si>
    <t>R64_G11</t>
  </si>
  <si>
    <t>Vandy</t>
  </si>
  <si>
    <t>R64_G12</t>
  </si>
  <si>
    <t>Nebraska</t>
  </si>
  <si>
    <t>R64_G13</t>
  </si>
  <si>
    <t>VCU</t>
  </si>
  <si>
    <t>R64_G14</t>
  </si>
  <si>
    <t>Illinois</t>
  </si>
  <si>
    <t>R64_G15</t>
  </si>
  <si>
    <t>St. Mary</t>
  </si>
  <si>
    <t>R64_G16</t>
  </si>
  <si>
    <t>Houston</t>
  </si>
  <si>
    <t>R64_G17</t>
  </si>
  <si>
    <t>Arizona</t>
  </si>
  <si>
    <t>R64_G18</t>
  </si>
  <si>
    <t>Villanova</t>
  </si>
  <si>
    <t>R64_G19</t>
  </si>
  <si>
    <t>Wisconsin</t>
  </si>
  <si>
    <t>R64_G20</t>
  </si>
  <si>
    <t>Arkansas</t>
  </si>
  <si>
    <t>R64_G21</t>
  </si>
  <si>
    <t>BYU</t>
  </si>
  <si>
    <t>R64_G22</t>
  </si>
  <si>
    <t>Gonzaga</t>
  </si>
  <si>
    <t>R64_G23</t>
  </si>
  <si>
    <t>Miami</t>
  </si>
  <si>
    <t>R64_G24</t>
  </si>
  <si>
    <t>Purdue</t>
  </si>
  <si>
    <t>R64_G25</t>
  </si>
  <si>
    <t>Michigan</t>
  </si>
  <si>
    <t>R64_G26</t>
  </si>
  <si>
    <t>Georgia</t>
  </si>
  <si>
    <t>R64_G27</t>
  </si>
  <si>
    <t>Texas Tech</t>
  </si>
  <si>
    <t>R64_G28</t>
  </si>
  <si>
    <t>Alabama</t>
  </si>
  <si>
    <t>R64_G29</t>
  </si>
  <si>
    <t>Tennessee</t>
  </si>
  <si>
    <t>R64_G30</t>
  </si>
  <si>
    <t>Virginia</t>
  </si>
  <si>
    <t>R64_G31</t>
  </si>
  <si>
    <t>Kentucky</t>
  </si>
  <si>
    <t>R64_G32</t>
  </si>
  <si>
    <t>Iowa State</t>
  </si>
  <si>
    <t xml:space="preserve">  ▸  ROUND OF 32  •  2 pts each</t>
  </si>
  <si>
    <t>Rou_G1</t>
  </si>
  <si>
    <t>Rou_G2</t>
  </si>
  <si>
    <t>Rou_G3</t>
  </si>
  <si>
    <t>Mich St</t>
  </si>
  <si>
    <t>Rou_G4</t>
  </si>
  <si>
    <t>Rou_G5</t>
  </si>
  <si>
    <t>Rou_G6</t>
  </si>
  <si>
    <t>Rou_G7</t>
  </si>
  <si>
    <t>Rou_G8</t>
  </si>
  <si>
    <t>Rou_G9</t>
  </si>
  <si>
    <t>Rou_G10</t>
  </si>
  <si>
    <t>Rou_G11</t>
  </si>
  <si>
    <t>Rou_G12</t>
  </si>
  <si>
    <t>Rou_G13</t>
  </si>
  <si>
    <t>Rou_G14</t>
  </si>
  <si>
    <t>Rou_G15</t>
  </si>
  <si>
    <t>Rou_G16</t>
  </si>
  <si>
    <t xml:space="preserve">  ▸  SWEET SIXTEEN  •  4 pts each</t>
  </si>
  <si>
    <t>Swe_G1</t>
  </si>
  <si>
    <t>Swe_G2</t>
  </si>
  <si>
    <t>Swe_G3</t>
  </si>
  <si>
    <t>Swe_G4</t>
  </si>
  <si>
    <t>Swe_G5</t>
  </si>
  <si>
    <t>Swe_G6</t>
  </si>
  <si>
    <t>Swe_G7</t>
  </si>
  <si>
    <t>Swe_G8</t>
  </si>
  <si>
    <t xml:space="preserve">  ▸  ELITE EIGHT  •  8 pts each</t>
  </si>
  <si>
    <t>Eli_G1</t>
  </si>
  <si>
    <t>Eli_G2</t>
  </si>
  <si>
    <t>Eli_G3</t>
  </si>
  <si>
    <t>Eli_G4</t>
  </si>
  <si>
    <t xml:space="preserve">  ▸  FINAL FOUR  •  16 pts each</t>
  </si>
  <si>
    <t>Fin_G1</t>
  </si>
  <si>
    <t>Fin_G2</t>
  </si>
  <si>
    <t xml:space="preserve">  ▸  CHAMPIONSHIP  •  32 pts</t>
  </si>
  <si>
    <t>Cha_G1</t>
  </si>
  <si>
    <t>TOTAL SCORE</t>
  </si>
  <si>
    <t>PTS REMAINING:</t>
  </si>
  <si>
    <t>🏀  KIM'S 2026 MARCH MADNESS BRACKET</t>
  </si>
  <si>
    <t>Louisville</t>
  </si>
  <si>
    <t>North Carolina</t>
  </si>
  <si>
    <t>Texas A&amp;M</t>
  </si>
  <si>
    <t>Missouri</t>
  </si>
  <si>
    <t>🏀  SHELLY'S 2026 MARCH MADNESS BRACKET</t>
  </si>
  <si>
    <t>UCLA</t>
  </si>
  <si>
    <t>Clemson</t>
  </si>
  <si>
    <t>St. Mary's</t>
  </si>
  <si>
    <t>Akron</t>
  </si>
  <si>
    <t>🏀  CHUCK'S 2026 MARCH MADNESS BRACKET</t>
  </si>
  <si>
    <t>Ohio State</t>
  </si>
  <si>
    <t>St. Louis</t>
  </si>
  <si>
    <t>🏀  PORTER'S 2026 MARCH MADNESS BRACKET</t>
  </si>
  <si>
    <t>Northern Iowa</t>
  </si>
  <si>
    <t>High Point</t>
  </si>
  <si>
    <t>Santa Clara</t>
  </si>
  <si>
    <t>🏀  RAMAN'S 2026 MARCH MADNESS BRACKET</t>
  </si>
  <si>
    <t>🏀  2026 NCAA TOURNAMENT — OFFICIAL RESULTS</t>
  </si>
  <si>
    <t>Utah St</t>
  </si>
  <si>
    <t>Texas</t>
  </si>
  <si>
    <t>🏆  2026 OFFICE MARCH MADNESS — LEADERBOARD</t>
  </si>
  <si>
    <t>Scores update automatically as results are entered in Master_Results</t>
  </si>
  <si>
    <t>Rank</t>
  </si>
  <si>
    <t>Participant</t>
  </si>
  <si>
    <t>Champion Pick</t>
  </si>
  <si>
    <t>Current Score</t>
  </si>
  <si>
    <t>Pts Remaining</t>
  </si>
  <si>
    <t>Max Possible</t>
  </si>
  <si>
    <t>SCORING GUIDE</t>
  </si>
  <si>
    <t>Final Four</t>
  </si>
  <si>
    <t>1 pt</t>
  </si>
  <si>
    <t>2 pts</t>
  </si>
  <si>
    <t>4 pts</t>
  </si>
  <si>
    <t>8 pts</t>
  </si>
  <si>
    <t>16 pts</t>
  </si>
  <si>
    <t>32 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</si>
</sst>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FFD700"/>
      <name val="Arial"/>
      <family val="2"/>
    </font>
    <font>
      <sz val="10"/>
      <color rgb="FF666666"/>
      <name val="Arial"/>
      <family val="2"/>
    </font>
    <font>
      <sz val="10"/>
      <color rgb="FF2D2D2D"/>
      <name val="Arial"/>
      <family val="2"/>
    </font>
    <font>
      <b/>
      <sz val="10"/>
      <color rgb="FF1E6B1E"/>
      <name val="Arial"/>
      <family val="2"/>
    </font>
    <font>
      <sz val="10"/>
      <color rgb="FF888888"/>
      <name val="Arial"/>
      <family val="2"/>
    </font>
    <font>
      <b/>
      <sz val="10"/>
      <color rgb="FF1A3B6F"/>
      <name val="Arial"/>
      <family val="2"/>
    </font>
    <font>
      <b/>
      <sz val="11"/>
      <color rgb="FFFFFFFF"/>
      <name val="Arial"/>
      <family val="2"/>
    </font>
    <font>
      <b/>
      <sz val="12"/>
      <color rgb="FFFFFFFF"/>
      <name val="Arial"/>
      <family val="2"/>
    </font>
    <font>
      <b/>
      <sz val="16"/>
      <color rgb="FFFFFFFF"/>
      <name val="Arial"/>
      <family val="2"/>
    </font>
    <font>
      <i/>
      <sz val="10"/>
      <color rgb="FF555555"/>
      <name val="Arial"/>
      <family val="2"/>
    </font>
    <font>
      <b/>
      <sz val="11"/>
      <color rgb="FF1A3B6F"/>
      <name val="Arial"/>
      <family val="2"/>
    </font>
    <font>
      <b/>
      <sz val="11"/>
      <color rgb="FF2D2D2D"/>
      <name val="Arial"/>
      <family val="2"/>
    </font>
    <font>
      <b/>
      <sz val="12"/>
      <color rgb="FF1A3B6F"/>
      <name val="Arial"/>
      <family val="2"/>
    </font>
    <font>
      <b/>
      <sz val="10"/>
      <color rgb="FF2D2D2D"/>
      <name val="Arial"/>
      <family val="2"/>
    </font>
    <font>
      <b/>
      <sz val="9"/>
      <color rgb="FFFFD70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 indent="1"/>
    </xf>
    <xf numFmtId="0" fontId="6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 indent="1"/>
    </xf>
    <xf numFmtId="0" fontId="6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 indent="1"/>
    </xf>
    <xf numFmtId="0" fontId="6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 indent="1"/>
    </xf>
    <xf numFmtId="0" fontId="6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 indent="1"/>
    </xf>
    <xf numFmtId="0" fontId="6" fillId="18" borderId="1" xfId="0" applyFont="1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 indent="1"/>
    </xf>
    <xf numFmtId="0" fontId="6" fillId="20" borderId="1" xfId="0" applyFont="1" applyFill="1" applyBorder="1" applyAlignment="1">
      <alignment horizontal="center" vertical="center"/>
    </xf>
    <xf numFmtId="0" fontId="0" fillId="20" borderId="1" xfId="0" applyFill="1" applyBorder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7" fillId="20" borderId="1" xfId="0" applyFont="1" applyFill="1" applyBorder="1" applyAlignment="1">
      <alignment horizontal="center" vertical="center"/>
    </xf>
    <xf numFmtId="0" fontId="8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21" borderId="1" xfId="0" applyFont="1" applyFill="1" applyBorder="1" applyAlignment="1">
      <alignment horizontal="center" vertical="center"/>
    </xf>
    <xf numFmtId="0" fontId="9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13" fillId="26" borderId="1" xfId="0" applyFont="1" applyFill="1" applyBorder="1" applyAlignment="1">
      <alignment horizontal="center" vertical="center"/>
    </xf>
    <xf numFmtId="0" fontId="14" fillId="26" borderId="1" xfId="0" applyFont="1" applyFill="1" applyBorder="1" applyAlignment="1">
      <alignment horizontal="left" vertical="center" indent="1"/>
    </xf>
    <xf numFmtId="0" fontId="5" fillId="26" borderId="1" xfId="0" applyFont="1" applyFill="1" applyBorder="1" applyAlignment="1">
      <alignment horizontal="center" vertical="center"/>
    </xf>
    <xf numFmtId="0" fontId="15" fillId="26" borderId="1" xfId="0" applyFont="1" applyFill="1" applyBorder="1" applyAlignment="1">
      <alignment horizontal="center" vertical="center"/>
    </xf>
    <xf numFmtId="0" fontId="16" fillId="26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6" fillId="25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11" borderId="2" xfId="0" applyFont="1" applyFill="1" applyBorder="1" applyAlignment="1">
      <alignment horizontal="left" vertical="center" indent="1"/>
    </xf>
    <xf numFmtId="0" fontId="0" fillId="0" borderId="2" xfId="0" applyBorder="1"/>
    <xf numFmtId="0" fontId="3" fillId="19" borderId="2" xfId="0" applyFont="1" applyFill="1" applyBorder="1" applyAlignment="1">
      <alignment horizontal="left" vertical="center" indent="1"/>
    </xf>
    <xf numFmtId="0" fontId="3" fillId="17" borderId="2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  <xf numFmtId="0" fontId="3" fillId="13" borderId="2" xfId="0" applyFont="1" applyFill="1" applyBorder="1" applyAlignment="1">
      <alignment horizontal="left" vertical="center" indent="1"/>
    </xf>
    <xf numFmtId="0" fontId="3" fillId="15" borderId="2" xfId="0" applyFont="1" applyFill="1" applyBorder="1" applyAlignment="1">
      <alignment horizontal="left" vertical="center" indent="1"/>
    </xf>
    <xf numFmtId="0" fontId="9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2" fillId="2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</cellXfs>
  <cellStyles count="1">
    <cellStyle name="Normal" xfId="0" builtinId="0"/>
  </cellStyles>
  <dxfs count="18">
    <dxf>
      <font>
        <b/>
        <sz val="11"/>
        <color rgb="FF8B4513"/>
        <name val="Arial"/>
        <charset val="1"/>
      </font>
      <fill>
        <patternFill>
          <bgColor rgb="FFFDF0E6"/>
        </patternFill>
      </fill>
    </dxf>
    <dxf>
      <font>
        <b/>
        <sz val="11"/>
        <color rgb="FF5A5A5A"/>
        <name val="Arial"/>
        <charset val="1"/>
      </font>
      <fill>
        <patternFill>
          <bgColor rgb="FFF5F5F5"/>
        </patternFill>
      </fill>
    </dxf>
    <dxf>
      <font>
        <b/>
        <sz val="11"/>
        <color rgb="FFB8860B"/>
        <name val="Arial"/>
        <charset val="1"/>
      </font>
      <fill>
        <patternFill>
          <bgColor rgb="FFFFF8DC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sz val="10"/>
        <color rgb="FF9C0006"/>
        <name val="Arial"/>
        <charset val="1"/>
      </font>
      <fill>
        <patternFill>
          <bgColor rgb="FFFFC7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  <dxf>
      <font>
        <b/>
        <sz val="10"/>
        <color rgb="FF1E6B1E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zoomScaleNormal="100" workbookViewId="0">
      <pane ySplit="2" topLeftCell="A13" activePane="bottomLeft" state="frozen"/>
      <selection pane="bottomLeft" activeCell="D38" sqref="D38"/>
    </sheetView>
  </sheetViews>
  <sheetFormatPr baseColWidth="10" defaultColWidth="8.6640625" defaultRowHeight="15" x14ac:dyDescent="0.2"/>
  <cols>
    <col min="1" max="1" width="14" customWidth="1"/>
    <col min="2" max="2" width="38" customWidth="1"/>
    <col min="3" max="3" width="20" customWidth="1"/>
    <col min="4" max="9" width="15" customWidth="1"/>
  </cols>
  <sheetData>
    <row r="1" spans="1:10" ht="30" customHeight="1" x14ac:dyDescent="0.2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1.75" customHeight="1" x14ac:dyDescent="0.2">
      <c r="A2" s="1" t="s">
        <v>1</v>
      </c>
      <c r="B2" s="1" t="s">
        <v>2</v>
      </c>
      <c r="C2" s="1" t="s">
        <v>3</v>
      </c>
      <c r="D2" s="2" t="s">
        <v>4</v>
      </c>
      <c r="E2" s="3" t="s">
        <v>5</v>
      </c>
      <c r="F2" s="4" t="s">
        <v>6</v>
      </c>
      <c r="G2" s="5" t="s">
        <v>7</v>
      </c>
      <c r="H2" s="6" t="s">
        <v>8</v>
      </c>
      <c r="I2" s="7" t="s">
        <v>9</v>
      </c>
    </row>
    <row r="3" spans="1:10" ht="18.75" customHeight="1" x14ac:dyDescent="0.2">
      <c r="A3" s="74" t="s">
        <v>10</v>
      </c>
      <c r="B3" s="69"/>
      <c r="C3" s="69"/>
      <c r="D3" s="69"/>
      <c r="E3" s="69"/>
      <c r="F3" s="69"/>
      <c r="G3" s="69"/>
      <c r="H3" s="69"/>
      <c r="I3" s="71"/>
    </row>
    <row r="4" spans="1:10" ht="15.75" customHeight="1" x14ac:dyDescent="0.2">
      <c r="A4" s="8" t="s">
        <v>11</v>
      </c>
      <c r="B4" s="9" t="s">
        <v>12</v>
      </c>
      <c r="C4" s="10" t="str">
        <f>Master_Results!D2</f>
        <v>Actual Winner</v>
      </c>
      <c r="D4" s="11" t="str">
        <f>Raman!D4</f>
        <v>Duke</v>
      </c>
      <c r="E4" s="11" t="str">
        <f>Porter!D4</f>
        <v>Duke</v>
      </c>
      <c r="F4" s="11" t="str">
        <f>Chuck!D4</f>
        <v>Duke</v>
      </c>
      <c r="G4" s="11" t="str">
        <f>Shelly!D4</f>
        <v>Duke</v>
      </c>
      <c r="H4" s="11" t="str">
        <f>Kim!D4</f>
        <v>Duke</v>
      </c>
      <c r="I4" s="11" t="str">
        <f>Tucker!D4</f>
        <v>Duke</v>
      </c>
    </row>
    <row r="5" spans="1:10" ht="15.75" customHeight="1" x14ac:dyDescent="0.2">
      <c r="A5" s="8" t="s">
        <v>11</v>
      </c>
      <c r="B5" s="9" t="s">
        <v>13</v>
      </c>
      <c r="C5" s="10">
        <f>Master_Results!D3</f>
        <v>0</v>
      </c>
      <c r="D5" s="11" t="str">
        <f>Raman!D5</f>
        <v>TCU</v>
      </c>
      <c r="E5" s="11" t="str">
        <f>Porter!D5</f>
        <v>Ohio State</v>
      </c>
      <c r="F5" s="11" t="str">
        <f>Chuck!D5</f>
        <v>Ohio State</v>
      </c>
      <c r="G5" s="11" t="str">
        <f>Shelly!D5</f>
        <v>TCU</v>
      </c>
      <c r="H5" s="11" t="str">
        <f>Kim!D5</f>
        <v>TCU</v>
      </c>
      <c r="I5" s="11" t="str">
        <f>Tucker!D5</f>
        <v>TCU</v>
      </c>
    </row>
    <row r="6" spans="1:10" ht="15.75" customHeight="1" x14ac:dyDescent="0.2">
      <c r="A6" s="8" t="s">
        <v>11</v>
      </c>
      <c r="B6" s="9" t="s">
        <v>14</v>
      </c>
      <c r="C6" s="10" t="str">
        <f>Master_Results!D4</f>
        <v>Duke</v>
      </c>
      <c r="D6" s="11" t="str">
        <f>Raman!D6</f>
        <v>St. John</v>
      </c>
      <c r="E6" s="11" t="str">
        <f>Porter!D6</f>
        <v>Northern Iowa</v>
      </c>
      <c r="F6" s="11" t="str">
        <f>Chuck!D6</f>
        <v>St. John</v>
      </c>
      <c r="G6" s="11" t="str">
        <f>Shelly!D6</f>
        <v>St. John</v>
      </c>
      <c r="H6" s="11" t="str">
        <f>Kim!D6</f>
        <v>St. John</v>
      </c>
      <c r="I6" s="11" t="str">
        <f>Tucker!D6</f>
        <v>St. John</v>
      </c>
    </row>
    <row r="7" spans="1:10" ht="15.75" customHeight="1" x14ac:dyDescent="0.2">
      <c r="A7" s="8" t="s">
        <v>11</v>
      </c>
      <c r="B7" s="9" t="s">
        <v>15</v>
      </c>
      <c r="C7" s="10" t="str">
        <f>Master_Results!D5</f>
        <v>TCU</v>
      </c>
      <c r="D7" s="11" t="str">
        <f>Raman!D7</f>
        <v>Kansas</v>
      </c>
      <c r="E7" s="11" t="str">
        <f>Porter!D7</f>
        <v>Kansas</v>
      </c>
      <c r="F7" s="11" t="str">
        <f>Chuck!D7</f>
        <v>Kansas</v>
      </c>
      <c r="G7" s="11" t="str">
        <f>Shelly!D7</f>
        <v>Kansas</v>
      </c>
      <c r="H7" s="11" t="str">
        <f>Kim!D7</f>
        <v>Kansas</v>
      </c>
      <c r="I7" s="11" t="str">
        <f>Tucker!D7</f>
        <v>Kansas</v>
      </c>
    </row>
    <row r="8" spans="1:10" ht="15.75" customHeight="1" x14ac:dyDescent="0.2">
      <c r="A8" s="8" t="s">
        <v>11</v>
      </c>
      <c r="B8" s="9" t="s">
        <v>16</v>
      </c>
      <c r="C8" s="10" t="str">
        <f>Master_Results!D6</f>
        <v>St. John</v>
      </c>
      <c r="D8" s="11" t="str">
        <f>Raman!D8</f>
        <v>Louisville</v>
      </c>
      <c r="E8" s="11" t="str">
        <f>Porter!D8</f>
        <v>South Florida</v>
      </c>
      <c r="F8" s="11" t="str">
        <f>Chuck!D8</f>
        <v>Louisville</v>
      </c>
      <c r="G8" s="11" t="str">
        <f>Shelly!D8</f>
        <v>Louisville</v>
      </c>
      <c r="H8" s="11" t="str">
        <f>Kim!D8</f>
        <v>Louisville</v>
      </c>
      <c r="I8" s="11" t="str">
        <f>Tucker!D8</f>
        <v>South Florida</v>
      </c>
    </row>
    <row r="9" spans="1:10" ht="15.75" customHeight="1" x14ac:dyDescent="0.2">
      <c r="A9" s="8" t="s">
        <v>11</v>
      </c>
      <c r="B9" s="9" t="s">
        <v>17</v>
      </c>
      <c r="C9" s="10" t="str">
        <f>Master_Results!D7</f>
        <v>Kansas</v>
      </c>
      <c r="D9" s="11" t="str">
        <f>Raman!D9</f>
        <v>Michigan St</v>
      </c>
      <c r="E9" s="11" t="str">
        <f>Porter!D9</f>
        <v>Michigan St</v>
      </c>
      <c r="F9" s="11" t="str">
        <f>Chuck!D9</f>
        <v>Michigan St</v>
      </c>
      <c r="G9" s="11" t="str">
        <f>Shelly!D9</f>
        <v>Michigan St</v>
      </c>
      <c r="H9" s="11" t="str">
        <f>Kim!D9</f>
        <v>Michigan St</v>
      </c>
      <c r="I9" s="11" t="str">
        <f>Tucker!D9</f>
        <v>Michigan St</v>
      </c>
    </row>
    <row r="10" spans="1:10" ht="15.75" customHeight="1" x14ac:dyDescent="0.2">
      <c r="A10" s="8" t="s">
        <v>11</v>
      </c>
      <c r="B10" s="9" t="s">
        <v>18</v>
      </c>
      <c r="C10" s="10" t="str">
        <f>Master_Results!D8</f>
        <v>Louisville</v>
      </c>
      <c r="D10" s="11" t="str">
        <f>Raman!D10</f>
        <v>UCLA</v>
      </c>
      <c r="E10" s="11" t="str">
        <f>Porter!D10</f>
        <v>UCLA</v>
      </c>
      <c r="F10" s="11" t="str">
        <f>Chuck!D10</f>
        <v>UCF</v>
      </c>
      <c r="G10" s="11" t="str">
        <f>Shelly!D10</f>
        <v>UCLA</v>
      </c>
      <c r="H10" s="11" t="str">
        <f>Kim!D10</f>
        <v>UCF</v>
      </c>
      <c r="I10" s="11" t="str">
        <f>Tucker!D10</f>
        <v>UCF</v>
      </c>
    </row>
    <row r="11" spans="1:10" ht="15.75" customHeight="1" x14ac:dyDescent="0.2">
      <c r="A11" s="8" t="s">
        <v>11</v>
      </c>
      <c r="B11" s="9" t="s">
        <v>19</v>
      </c>
      <c r="C11" s="10" t="str">
        <f>Master_Results!D9</f>
        <v>Michigan St</v>
      </c>
      <c r="D11" s="11" t="str">
        <f>Raman!D11</f>
        <v>UConn</v>
      </c>
      <c r="E11" s="11" t="str">
        <f>Porter!D11</f>
        <v>UConn</v>
      </c>
      <c r="F11" s="11" t="str">
        <f>Chuck!D11</f>
        <v>UConn</v>
      </c>
      <c r="G11" s="11" t="str">
        <f>Shelly!D11</f>
        <v>UConn</v>
      </c>
      <c r="H11" s="11" t="str">
        <f>Kim!D11</f>
        <v>UConn</v>
      </c>
      <c r="I11" s="11" t="str">
        <f>Tucker!D11</f>
        <v>UConn</v>
      </c>
    </row>
    <row r="12" spans="1:10" ht="15.75" customHeight="1" x14ac:dyDescent="0.2">
      <c r="A12" s="8" t="s">
        <v>11</v>
      </c>
      <c r="B12" s="9" t="s">
        <v>20</v>
      </c>
      <c r="C12" s="10" t="str">
        <f>Master_Results!D10</f>
        <v>UCLA</v>
      </c>
      <c r="D12" s="11" t="str">
        <f>Raman!D12</f>
        <v>Florida</v>
      </c>
      <c r="E12" s="11" t="str">
        <f>Porter!D12</f>
        <v>Florida</v>
      </c>
      <c r="F12" s="11" t="str">
        <f>Chuck!D12</f>
        <v>Florida</v>
      </c>
      <c r="G12" s="11" t="str">
        <f>Shelly!D12</f>
        <v>Florida</v>
      </c>
      <c r="H12" s="11" t="str">
        <f>Kim!D12</f>
        <v>Florida</v>
      </c>
      <c r="I12" s="11" t="str">
        <f>Tucker!D12</f>
        <v>Florida</v>
      </c>
    </row>
    <row r="13" spans="1:10" ht="15.75" customHeight="1" x14ac:dyDescent="0.2">
      <c r="A13" s="8" t="s">
        <v>11</v>
      </c>
      <c r="B13" s="9" t="s">
        <v>21</v>
      </c>
      <c r="C13" s="10" t="str">
        <f>Master_Results!D11</f>
        <v>UConn</v>
      </c>
      <c r="D13" s="11" t="str">
        <f>Raman!D13</f>
        <v>Clemson</v>
      </c>
      <c r="E13" s="11" t="str">
        <f>Porter!D13</f>
        <v>Clemson</v>
      </c>
      <c r="F13" s="11" t="str">
        <f>Chuck!D13</f>
        <v>Iowa</v>
      </c>
      <c r="G13" s="11" t="str">
        <f>Shelly!D13</f>
        <v>Clemson</v>
      </c>
      <c r="H13" s="11" t="str">
        <f>Kim!D13</f>
        <v>Iowa</v>
      </c>
      <c r="I13" s="11" t="str">
        <f>Tucker!D13</f>
        <v>Iowa</v>
      </c>
    </row>
    <row r="14" spans="1:10" ht="15.75" customHeight="1" x14ac:dyDescent="0.2">
      <c r="A14" s="8" t="s">
        <v>11</v>
      </c>
      <c r="B14" s="9" t="s">
        <v>22</v>
      </c>
      <c r="C14" s="10" t="str">
        <f>Master_Results!D12</f>
        <v>Florida</v>
      </c>
      <c r="D14" s="11" t="str">
        <f>Raman!D14</f>
        <v>Vandy</v>
      </c>
      <c r="E14" s="11" t="str">
        <f>Porter!D14</f>
        <v>Vandy</v>
      </c>
      <c r="F14" s="11" t="str">
        <f>Chuck!D14</f>
        <v>Vandy</v>
      </c>
      <c r="G14" s="11" t="str">
        <f>Shelly!D14</f>
        <v>Vandy</v>
      </c>
      <c r="H14" s="11" t="str">
        <f>Kim!D14</f>
        <v>Vandy</v>
      </c>
      <c r="I14" s="11" t="str">
        <f>Tucker!D14</f>
        <v>Vandy</v>
      </c>
    </row>
    <row r="15" spans="1:10" ht="15.75" customHeight="1" x14ac:dyDescent="0.2">
      <c r="A15" s="8" t="s">
        <v>11</v>
      </c>
      <c r="B15" s="9" t="s">
        <v>23</v>
      </c>
      <c r="C15" s="10" t="str">
        <f>Master_Results!D13</f>
        <v>Iowa</v>
      </c>
      <c r="D15" s="11" t="str">
        <f>Raman!D15</f>
        <v>Nebraska</v>
      </c>
      <c r="E15" s="11" t="str">
        <f>Porter!D15</f>
        <v>Nebraska</v>
      </c>
      <c r="F15" s="11" t="str">
        <f>Chuck!D15</f>
        <v>Nebraska</v>
      </c>
      <c r="G15" s="11" t="str">
        <f>Shelly!D15</f>
        <v>Nebraska</v>
      </c>
      <c r="H15" s="11" t="str">
        <f>Kim!D15</f>
        <v>Nebraska</v>
      </c>
      <c r="I15" s="11" t="str">
        <f>Tucker!D15</f>
        <v>Nebraska</v>
      </c>
    </row>
    <row r="16" spans="1:10" ht="15.75" customHeight="1" x14ac:dyDescent="0.2">
      <c r="A16" s="8" t="s">
        <v>11</v>
      </c>
      <c r="B16" s="9" t="s">
        <v>24</v>
      </c>
      <c r="C16" s="10" t="str">
        <f>Master_Results!D14</f>
        <v>Vandy</v>
      </c>
      <c r="D16" s="11" t="str">
        <f>Raman!D16</f>
        <v>North Carolina</v>
      </c>
      <c r="E16" s="11" t="str">
        <f>Porter!D16</f>
        <v>North Carolina</v>
      </c>
      <c r="F16" s="11" t="str">
        <f>Chuck!D16</f>
        <v>North Carolina</v>
      </c>
      <c r="G16" s="11" t="str">
        <f>Shelly!D16</f>
        <v>VCU</v>
      </c>
      <c r="H16" s="11" t="str">
        <f>Kim!D16</f>
        <v>North Carolina</v>
      </c>
      <c r="I16" s="11" t="str">
        <f>Tucker!D16</f>
        <v>VCU</v>
      </c>
    </row>
    <row r="17" spans="1:9" ht="15.75" customHeight="1" x14ac:dyDescent="0.2">
      <c r="A17" s="8" t="s">
        <v>11</v>
      </c>
      <c r="B17" s="9" t="s">
        <v>25</v>
      </c>
      <c r="C17" s="10" t="str">
        <f>Master_Results!D15</f>
        <v>Nebraska</v>
      </c>
      <c r="D17" s="11" t="str">
        <f>Raman!D17</f>
        <v>Illinois</v>
      </c>
      <c r="E17" s="11" t="str">
        <f>Porter!D17</f>
        <v>Illinois</v>
      </c>
      <c r="F17" s="11" t="str">
        <f>Chuck!D17</f>
        <v>Illinois</v>
      </c>
      <c r="G17" s="11" t="str">
        <f>Shelly!D17</f>
        <v>Illinois</v>
      </c>
      <c r="H17" s="11" t="str">
        <f>Kim!D17</f>
        <v>Illinois</v>
      </c>
      <c r="I17" s="11" t="str">
        <f>Tucker!D17</f>
        <v>Illinois</v>
      </c>
    </row>
    <row r="18" spans="1:9" ht="15.75" customHeight="1" x14ac:dyDescent="0.2">
      <c r="A18" s="8" t="s">
        <v>11</v>
      </c>
      <c r="B18" s="9" t="s">
        <v>26</v>
      </c>
      <c r="C18" s="10" t="str">
        <f>Master_Results!D16</f>
        <v>VCU</v>
      </c>
      <c r="D18" s="11" t="str">
        <f>Raman!D18</f>
        <v>Texas A&amp;M</v>
      </c>
      <c r="E18" s="11" t="str">
        <f>Porter!D18</f>
        <v>St. Mary's</v>
      </c>
      <c r="F18" s="11" t="str">
        <f>Chuck!D18</f>
        <v>St. Mary's</v>
      </c>
      <c r="G18" s="11" t="str">
        <f>Shelly!D18</f>
        <v>St. Mary's</v>
      </c>
      <c r="H18" s="11" t="str">
        <f>Kim!D18</f>
        <v>Texas A&amp;M</v>
      </c>
      <c r="I18" s="11" t="str">
        <f>Tucker!D18</f>
        <v>St. Mary</v>
      </c>
    </row>
    <row r="19" spans="1:9" ht="15.75" customHeight="1" x14ac:dyDescent="0.2">
      <c r="A19" s="8" t="s">
        <v>11</v>
      </c>
      <c r="B19" s="9" t="s">
        <v>27</v>
      </c>
      <c r="C19" s="10" t="str">
        <f>Master_Results!D17</f>
        <v>Illinois</v>
      </c>
      <c r="D19" s="11" t="str">
        <f>Raman!D19</f>
        <v>Houston</v>
      </c>
      <c r="E19" s="11" t="str">
        <f>Porter!D19</f>
        <v>Houston</v>
      </c>
      <c r="F19" s="11" t="str">
        <f>Chuck!D19</f>
        <v>Houston</v>
      </c>
      <c r="G19" s="11" t="str">
        <f>Shelly!D19</f>
        <v>Houston</v>
      </c>
      <c r="H19" s="11" t="str">
        <f>Kim!D19</f>
        <v>Houston</v>
      </c>
      <c r="I19" s="11" t="str">
        <f>Tucker!D19</f>
        <v>Houston</v>
      </c>
    </row>
    <row r="20" spans="1:9" ht="15.75" customHeight="1" x14ac:dyDescent="0.2">
      <c r="A20" s="8" t="s">
        <v>11</v>
      </c>
      <c r="B20" s="9" t="s">
        <v>28</v>
      </c>
      <c r="C20" s="10" t="str">
        <f>Master_Results!D18</f>
        <v>Texas A&amp;M</v>
      </c>
      <c r="D20" s="11" t="str">
        <f>Raman!D20</f>
        <v>Arizona</v>
      </c>
      <c r="E20" s="11" t="str">
        <f>Porter!D20</f>
        <v>Arizona</v>
      </c>
      <c r="F20" s="11" t="str">
        <f>Chuck!D20</f>
        <v>Arizona</v>
      </c>
      <c r="G20" s="11" t="str">
        <f>Shelly!D20</f>
        <v>Arizona</v>
      </c>
      <c r="H20" s="11" t="str">
        <f>Kim!D20</f>
        <v>Arizona</v>
      </c>
      <c r="I20" s="11" t="str">
        <f>Tucker!D20</f>
        <v>Arizona</v>
      </c>
    </row>
    <row r="21" spans="1:9" ht="15.75" customHeight="1" x14ac:dyDescent="0.2">
      <c r="A21" s="8" t="s">
        <v>11</v>
      </c>
      <c r="B21" s="9" t="s">
        <v>29</v>
      </c>
      <c r="C21" s="10" t="str">
        <f>Master_Results!D19</f>
        <v>Houston</v>
      </c>
      <c r="D21" s="11" t="str">
        <f>Raman!D21</f>
        <v>Villanova</v>
      </c>
      <c r="E21" s="11" t="str">
        <f>Porter!D21</f>
        <v>Villanova</v>
      </c>
      <c r="F21" s="11" t="str">
        <f>Chuck!D21</f>
        <v>Villanova</v>
      </c>
      <c r="G21" s="11" t="str">
        <f>Shelly!D21</f>
        <v>Villanova</v>
      </c>
      <c r="H21" s="11" t="str">
        <f>Kim!D21</f>
        <v>Villanova</v>
      </c>
      <c r="I21" s="11" t="str">
        <f>Tucker!D21</f>
        <v>Villanova</v>
      </c>
    </row>
    <row r="22" spans="1:9" ht="15.75" customHeight="1" x14ac:dyDescent="0.2">
      <c r="A22" s="8" t="s">
        <v>11</v>
      </c>
      <c r="B22" s="9" t="s">
        <v>30</v>
      </c>
      <c r="C22" s="10" t="str">
        <f>Master_Results!D20</f>
        <v>Arizona</v>
      </c>
      <c r="D22" s="11" t="str">
        <f>Raman!D22</f>
        <v>Wisconsin</v>
      </c>
      <c r="E22" s="11" t="str">
        <f>Porter!D22</f>
        <v>High Point</v>
      </c>
      <c r="F22" s="11" t="str">
        <f>Chuck!D22</f>
        <v>Wisconsin</v>
      </c>
      <c r="G22" s="11" t="str">
        <f>Shelly!D22</f>
        <v>Wisconsin</v>
      </c>
      <c r="H22" s="11" t="str">
        <f>Kim!D22</f>
        <v>Wisconsin</v>
      </c>
      <c r="I22" s="11" t="str">
        <f>Tucker!D22</f>
        <v>Wisconsin</v>
      </c>
    </row>
    <row r="23" spans="1:9" ht="15.75" customHeight="1" x14ac:dyDescent="0.2">
      <c r="A23" s="8" t="s">
        <v>11</v>
      </c>
      <c r="B23" s="9" t="s">
        <v>31</v>
      </c>
      <c r="C23" s="10" t="str">
        <f>Master_Results!D21</f>
        <v>Utah St</v>
      </c>
      <c r="D23" s="11" t="str">
        <f>Raman!D23</f>
        <v>Arkansas</v>
      </c>
      <c r="E23" s="11" t="str">
        <f>Porter!D23</f>
        <v>Arkansas</v>
      </c>
      <c r="F23" s="11" t="str">
        <f>Chuck!D23</f>
        <v>Arkansas</v>
      </c>
      <c r="G23" s="11" t="str">
        <f>Shelly!D23</f>
        <v>Arkansas</v>
      </c>
      <c r="H23" s="11" t="str">
        <f>Kim!D23</f>
        <v>Arkansas</v>
      </c>
      <c r="I23" s="11" t="str">
        <f>Tucker!D23</f>
        <v>Arkansas</v>
      </c>
    </row>
    <row r="24" spans="1:9" ht="15.75" customHeight="1" x14ac:dyDescent="0.2">
      <c r="A24" s="8" t="s">
        <v>11</v>
      </c>
      <c r="B24" s="9" t="s">
        <v>32</v>
      </c>
      <c r="C24" s="10" t="str">
        <f>Master_Results!D22</f>
        <v>High Point</v>
      </c>
      <c r="D24" s="11" t="str">
        <f>Raman!D24</f>
        <v>BYU</v>
      </c>
      <c r="E24" s="11" t="str">
        <f>Porter!D24</f>
        <v>BYU</v>
      </c>
      <c r="F24" s="11" t="str">
        <f>Chuck!D24</f>
        <v>BYU</v>
      </c>
      <c r="G24" s="11" t="str">
        <f>Shelly!D24</f>
        <v>BYU</v>
      </c>
      <c r="H24" s="11" t="str">
        <f>Kim!D24</f>
        <v>BYU</v>
      </c>
      <c r="I24" s="11" t="str">
        <f>Tucker!D24</f>
        <v>BYU</v>
      </c>
    </row>
    <row r="25" spans="1:9" ht="15.75" customHeight="1" x14ac:dyDescent="0.2">
      <c r="A25" s="8" t="s">
        <v>11</v>
      </c>
      <c r="B25" s="9" t="s">
        <v>33</v>
      </c>
      <c r="C25" s="10" t="str">
        <f>Master_Results!D23</f>
        <v>Arkansas</v>
      </c>
      <c r="D25" s="11" t="str">
        <f>Raman!D25</f>
        <v>Gonzaga</v>
      </c>
      <c r="E25" s="11" t="str">
        <f>Porter!D25</f>
        <v>Gonzaga</v>
      </c>
      <c r="F25" s="11" t="str">
        <f>Chuck!D25</f>
        <v>Gonzaga</v>
      </c>
      <c r="G25" s="11" t="str">
        <f>Shelly!D25</f>
        <v>Gonzaga</v>
      </c>
      <c r="H25" s="11" t="str">
        <f>Kim!D25</f>
        <v>Gonzaga</v>
      </c>
      <c r="I25" s="11" t="str">
        <f>Tucker!D25</f>
        <v>Gonzaga</v>
      </c>
    </row>
    <row r="26" spans="1:9" ht="15.75" customHeight="1" x14ac:dyDescent="0.2">
      <c r="A26" s="8" t="s">
        <v>11</v>
      </c>
      <c r="B26" s="9" t="s">
        <v>34</v>
      </c>
      <c r="C26" s="10" t="str">
        <f>Master_Results!D24</f>
        <v>Texas</v>
      </c>
      <c r="D26" s="11" t="str">
        <f>Raman!D26</f>
        <v>Miami</v>
      </c>
      <c r="E26" s="11" t="str">
        <f>Porter!D26</f>
        <v>Miami</v>
      </c>
      <c r="F26" s="11" t="str">
        <f>Chuck!D26</f>
        <v>Miami</v>
      </c>
      <c r="G26" s="11" t="str">
        <f>Shelly!D26</f>
        <v>Miami</v>
      </c>
      <c r="H26" s="11" t="str">
        <f>Kim!D26</f>
        <v>Missouri</v>
      </c>
      <c r="I26" s="11" t="str">
        <f>Tucker!D26</f>
        <v>Miami</v>
      </c>
    </row>
    <row r="27" spans="1:9" ht="15.75" customHeight="1" x14ac:dyDescent="0.2">
      <c r="A27" s="8" t="s">
        <v>11</v>
      </c>
      <c r="B27" s="9" t="s">
        <v>35</v>
      </c>
      <c r="C27" s="10" t="str">
        <f>Master_Results!D25</f>
        <v>Gonzaga</v>
      </c>
      <c r="D27" s="11" t="str">
        <f>Raman!D27</f>
        <v>Purdue</v>
      </c>
      <c r="E27" s="11" t="str">
        <f>Porter!D27</f>
        <v>Purdue</v>
      </c>
      <c r="F27" s="11" t="str">
        <f>Chuck!D27</f>
        <v>Purdue</v>
      </c>
      <c r="G27" s="11" t="str">
        <f>Shelly!D27</f>
        <v>Purdue</v>
      </c>
      <c r="H27" s="11" t="str">
        <f>Kim!D27</f>
        <v>Purdue</v>
      </c>
      <c r="I27" s="11" t="str">
        <f>Tucker!D27</f>
        <v>Purdue</v>
      </c>
    </row>
    <row r="28" spans="1:9" ht="15.75" customHeight="1" x14ac:dyDescent="0.2">
      <c r="A28" s="8" t="s">
        <v>11</v>
      </c>
      <c r="B28" s="9" t="s">
        <v>36</v>
      </c>
      <c r="C28" s="10" t="str">
        <f>Master_Results!D26</f>
        <v>Miami</v>
      </c>
      <c r="D28" s="11" t="str">
        <f>Raman!D28</f>
        <v>Michigan</v>
      </c>
      <c r="E28" s="11" t="str">
        <f>Porter!D28</f>
        <v>Michigan</v>
      </c>
      <c r="F28" s="11" t="str">
        <f>Chuck!D28</f>
        <v>Michigan</v>
      </c>
      <c r="G28" s="11" t="str">
        <f>Shelly!D28</f>
        <v>Michigan</v>
      </c>
      <c r="H28" s="11" t="str">
        <f>Kim!D28</f>
        <v>Michigan</v>
      </c>
      <c r="I28" s="11" t="str">
        <f>Tucker!D28</f>
        <v>Michigan</v>
      </c>
    </row>
    <row r="29" spans="1:9" ht="15.75" customHeight="1" x14ac:dyDescent="0.2">
      <c r="A29" s="8" t="s">
        <v>11</v>
      </c>
      <c r="B29" s="9" t="s">
        <v>37</v>
      </c>
      <c r="C29" s="10" t="str">
        <f>Master_Results!D27</f>
        <v>Purdue</v>
      </c>
      <c r="D29" s="11" t="str">
        <f>Raman!D29</f>
        <v>St. Louis</v>
      </c>
      <c r="E29" s="11" t="str">
        <f>Porter!D29</f>
        <v>Georgia</v>
      </c>
      <c r="F29" s="11" t="str">
        <f>Chuck!D29</f>
        <v>St. Louis</v>
      </c>
      <c r="G29" s="11" t="str">
        <f>Shelly!D29</f>
        <v>Georgia</v>
      </c>
      <c r="H29" s="11" t="str">
        <f>Kim!D29</f>
        <v>Georgia</v>
      </c>
      <c r="I29" s="11" t="str">
        <f>Tucker!D29</f>
        <v>Georgia</v>
      </c>
    </row>
    <row r="30" spans="1:9" ht="15.75" customHeight="1" x14ac:dyDescent="0.2">
      <c r="A30" s="8" t="s">
        <v>11</v>
      </c>
      <c r="B30" s="9" t="s">
        <v>38</v>
      </c>
      <c r="C30" s="10" t="str">
        <f>Master_Results!D28</f>
        <v>Michigan</v>
      </c>
      <c r="D30" s="11" t="str">
        <f>Raman!D30</f>
        <v>Texas Tech</v>
      </c>
      <c r="E30" s="11" t="str">
        <f>Porter!D30</f>
        <v>Texas Tech</v>
      </c>
      <c r="F30" s="11" t="str">
        <f>Chuck!D30</f>
        <v>Texas Tech</v>
      </c>
      <c r="G30" s="11" t="str">
        <f>Shelly!D30</f>
        <v>Akron</v>
      </c>
      <c r="H30" s="11" t="str">
        <f>Kim!D30</f>
        <v>Texas Tech</v>
      </c>
      <c r="I30" s="11" t="str">
        <f>Tucker!D30</f>
        <v>Texas Tech</v>
      </c>
    </row>
    <row r="31" spans="1:9" ht="15.75" customHeight="1" x14ac:dyDescent="0.2">
      <c r="A31" s="8" t="s">
        <v>11</v>
      </c>
      <c r="B31" s="9" t="s">
        <v>39</v>
      </c>
      <c r="C31" s="10" t="str">
        <f>Master_Results!D29</f>
        <v>St. Louis</v>
      </c>
      <c r="D31" s="11" t="str">
        <f>Raman!D31</f>
        <v>Alabama</v>
      </c>
      <c r="E31" s="11" t="str">
        <f>Porter!D31</f>
        <v>Alabama</v>
      </c>
      <c r="F31" s="11" t="str">
        <f>Chuck!D31</f>
        <v>Alabama</v>
      </c>
      <c r="G31" s="11" t="str">
        <f>Shelly!D31</f>
        <v>Alabama</v>
      </c>
      <c r="H31" s="11" t="str">
        <f>Kim!D31</f>
        <v>Alabama</v>
      </c>
      <c r="I31" s="11" t="str">
        <f>Tucker!D31</f>
        <v>Alabama</v>
      </c>
    </row>
    <row r="32" spans="1:9" ht="15.75" customHeight="1" x14ac:dyDescent="0.2">
      <c r="A32" s="8" t="s">
        <v>11</v>
      </c>
      <c r="B32" s="9" t="s">
        <v>40</v>
      </c>
      <c r="C32" s="10" t="str">
        <f>Master_Results!D30</f>
        <v>Texas Tech</v>
      </c>
      <c r="D32" s="11" t="str">
        <f>Raman!D32</f>
        <v>Tennessee</v>
      </c>
      <c r="E32" s="11" t="str">
        <f>Porter!D32</f>
        <v>Tennessee</v>
      </c>
      <c r="F32" s="11" t="str">
        <f>Chuck!D32</f>
        <v>Tennessee</v>
      </c>
      <c r="G32" s="11" t="str">
        <f>Shelly!D32</f>
        <v>Tennessee</v>
      </c>
      <c r="H32" s="11" t="str">
        <f>Kim!D32</f>
        <v>Tennessee</v>
      </c>
      <c r="I32" s="11" t="str">
        <f>Tucker!D32</f>
        <v>Tennessee</v>
      </c>
    </row>
    <row r="33" spans="1:9" ht="15.75" customHeight="1" x14ac:dyDescent="0.2">
      <c r="A33" s="8" t="s">
        <v>11</v>
      </c>
      <c r="B33" s="9" t="s">
        <v>41</v>
      </c>
      <c r="C33" s="10" t="str">
        <f>Master_Results!D31</f>
        <v>Alabama</v>
      </c>
      <c r="D33" s="11" t="str">
        <f>Raman!D33</f>
        <v>Virginia</v>
      </c>
      <c r="E33" s="11" t="str">
        <f>Porter!D33</f>
        <v>Virginia</v>
      </c>
      <c r="F33" s="11" t="str">
        <f>Chuck!D33</f>
        <v>Virginia</v>
      </c>
      <c r="G33" s="11" t="str">
        <f>Shelly!D33</f>
        <v>Virginia</v>
      </c>
      <c r="H33" s="11" t="str">
        <f>Kim!D33</f>
        <v>Virginia</v>
      </c>
      <c r="I33" s="11" t="str">
        <f>Tucker!D33</f>
        <v>Virginia</v>
      </c>
    </row>
    <row r="34" spans="1:9" ht="15.75" customHeight="1" x14ac:dyDescent="0.2">
      <c r="A34" s="8" t="s">
        <v>11</v>
      </c>
      <c r="B34" s="9" t="s">
        <v>42</v>
      </c>
      <c r="C34" s="10" t="str">
        <f>Master_Results!D32</f>
        <v>Tennessee</v>
      </c>
      <c r="D34" s="11" t="str">
        <f>Raman!D34</f>
        <v>Kentucky</v>
      </c>
      <c r="E34" s="11" t="str">
        <f>Porter!D34</f>
        <v>Santa Clara</v>
      </c>
      <c r="F34" s="11" t="str">
        <f>Chuck!D34</f>
        <v>Kentucky</v>
      </c>
      <c r="G34" s="11" t="str">
        <f>Shelly!D34</f>
        <v>Kentucky</v>
      </c>
      <c r="H34" s="11" t="str">
        <f>Kim!D34</f>
        <v>Kentucky</v>
      </c>
      <c r="I34" s="11" t="str">
        <f>Tucker!D34</f>
        <v>Kentucky</v>
      </c>
    </row>
    <row r="35" spans="1:9" ht="15.75" customHeight="1" x14ac:dyDescent="0.2">
      <c r="A35" s="8" t="s">
        <v>11</v>
      </c>
      <c r="B35" s="9" t="s">
        <v>43</v>
      </c>
      <c r="C35" s="10" t="str">
        <f>Master_Results!D33</f>
        <v>Virginia</v>
      </c>
      <c r="D35" s="11" t="str">
        <f>Raman!D35</f>
        <v>Iowa State</v>
      </c>
      <c r="E35" s="11" t="str">
        <f>Porter!D35</f>
        <v>Iowa State</v>
      </c>
      <c r="F35" s="11" t="str">
        <f>Chuck!D35</f>
        <v>Iowa State</v>
      </c>
      <c r="G35" s="11" t="str">
        <f>Shelly!D35</f>
        <v>Iowa State</v>
      </c>
      <c r="H35" s="11" t="str">
        <f>Kim!D35</f>
        <v>Iowa State</v>
      </c>
      <c r="I35" s="11" t="str">
        <f>Tucker!D35</f>
        <v>Iowa State</v>
      </c>
    </row>
    <row r="36" spans="1:9" ht="18.75" customHeight="1" x14ac:dyDescent="0.2">
      <c r="A36" s="70" t="s">
        <v>44</v>
      </c>
      <c r="B36" s="69"/>
      <c r="C36" s="69"/>
      <c r="D36" s="69"/>
      <c r="E36" s="69"/>
      <c r="F36" s="69"/>
      <c r="G36" s="69"/>
      <c r="H36" s="69"/>
      <c r="I36" s="71"/>
    </row>
    <row r="37" spans="1:9" ht="15.75" customHeight="1" x14ac:dyDescent="0.2">
      <c r="A37" s="12" t="s">
        <v>45</v>
      </c>
      <c r="B37" s="13" t="s">
        <v>46</v>
      </c>
      <c r="C37" s="14" t="str">
        <f>Master_Results!D34</f>
        <v>Kentucky</v>
      </c>
      <c r="D37" s="15" t="str">
        <f>Raman!D37</f>
        <v>Duke</v>
      </c>
      <c r="E37" s="15" t="str">
        <f>Porter!D37</f>
        <v>Duke</v>
      </c>
      <c r="F37" s="15" t="str">
        <f>Chuck!D37</f>
        <v>Duke</v>
      </c>
      <c r="G37" s="15" t="str">
        <f>Shelly!D37</f>
        <v>Duke</v>
      </c>
      <c r="H37" s="15" t="str">
        <f>Kim!D37</f>
        <v>Duke</v>
      </c>
      <c r="I37" s="15" t="str">
        <f>Tucker!D37</f>
        <v>Duke</v>
      </c>
    </row>
    <row r="38" spans="1:9" ht="15.75" customHeight="1" x14ac:dyDescent="0.2">
      <c r="A38" s="12" t="s">
        <v>45</v>
      </c>
      <c r="B38" s="13" t="s">
        <v>47</v>
      </c>
      <c r="C38" s="14" t="str">
        <f>Master_Results!D35</f>
        <v>Iowa State</v>
      </c>
      <c r="D38" s="15" t="str">
        <f>Raman!D38</f>
        <v>St. John</v>
      </c>
      <c r="E38" s="15" t="str">
        <f>Porter!D38</f>
        <v>Kansas</v>
      </c>
      <c r="F38" s="15" t="str">
        <f>Chuck!D38</f>
        <v>Kansas</v>
      </c>
      <c r="G38" s="15" t="str">
        <f>Shelly!D38</f>
        <v>Kansas</v>
      </c>
      <c r="H38" s="15" t="str">
        <f>Kim!D38</f>
        <v>Kansas</v>
      </c>
      <c r="I38" s="15" t="str">
        <f>Tucker!D38</f>
        <v>Kansas</v>
      </c>
    </row>
    <row r="39" spans="1:9" ht="15.75" customHeight="1" x14ac:dyDescent="0.2">
      <c r="A39" s="12" t="s">
        <v>45</v>
      </c>
      <c r="B39" s="13" t="s">
        <v>48</v>
      </c>
      <c r="C39" s="14">
        <f>Master_Results!D36</f>
        <v>0</v>
      </c>
      <c r="D39" s="15" t="str">
        <f>Raman!D39</f>
        <v>Mich St</v>
      </c>
      <c r="E39" s="15" t="str">
        <f>Porter!D39</f>
        <v>Mich St</v>
      </c>
      <c r="F39" s="15" t="str">
        <f>Chuck!D39</f>
        <v>Mich St</v>
      </c>
      <c r="G39" s="15" t="str">
        <f>Shelly!D39</f>
        <v>Mich St</v>
      </c>
      <c r="H39" s="15" t="str">
        <f>Kim!D39</f>
        <v>Mich St</v>
      </c>
      <c r="I39" s="15" t="str">
        <f>Tucker!D39</f>
        <v>Mich St</v>
      </c>
    </row>
    <row r="40" spans="1:9" ht="15.75" customHeight="1" x14ac:dyDescent="0.2">
      <c r="A40" s="12" t="s">
        <v>45</v>
      </c>
      <c r="B40" s="13" t="s">
        <v>49</v>
      </c>
      <c r="C40" s="14" t="str">
        <f>Master_Results!D37</f>
        <v>Duke</v>
      </c>
      <c r="D40" s="15" t="str">
        <f>Raman!D40</f>
        <v>UCLA</v>
      </c>
      <c r="E40" s="15" t="str">
        <f>Porter!D40</f>
        <v>UConn</v>
      </c>
      <c r="F40" s="15" t="str">
        <f>Chuck!D40</f>
        <v>UConn</v>
      </c>
      <c r="G40" s="15" t="str">
        <f>Shelly!D40</f>
        <v>UConn</v>
      </c>
      <c r="H40" s="15" t="str">
        <f>Kim!D40</f>
        <v>UConn</v>
      </c>
      <c r="I40" s="15" t="str">
        <f>Tucker!D40</f>
        <v>UConn</v>
      </c>
    </row>
    <row r="41" spans="1:9" ht="15.75" customHeight="1" x14ac:dyDescent="0.2">
      <c r="A41" s="12" t="s">
        <v>45</v>
      </c>
      <c r="B41" s="13" t="s">
        <v>50</v>
      </c>
      <c r="C41" s="14" t="str">
        <f>Master_Results!D38</f>
        <v>St. John</v>
      </c>
      <c r="D41" s="15" t="str">
        <f>Raman!D41</f>
        <v>Florida</v>
      </c>
      <c r="E41" s="15" t="str">
        <f>Porter!D41</f>
        <v>Florida</v>
      </c>
      <c r="F41" s="15" t="str">
        <f>Chuck!D41</f>
        <v>Florida</v>
      </c>
      <c r="G41" s="15" t="str">
        <f>Shelly!D41</f>
        <v>Florida</v>
      </c>
      <c r="H41" s="15" t="str">
        <f>Kim!D41</f>
        <v>Florida</v>
      </c>
      <c r="I41" s="15" t="str">
        <f>Tucker!D41</f>
        <v>Florida</v>
      </c>
    </row>
    <row r="42" spans="1:9" ht="15.75" customHeight="1" x14ac:dyDescent="0.2">
      <c r="A42" s="12" t="s">
        <v>45</v>
      </c>
      <c r="B42" s="13" t="s">
        <v>51</v>
      </c>
      <c r="C42" s="14" t="str">
        <f>Master_Results!D39</f>
        <v>Michigan St</v>
      </c>
      <c r="D42" s="15" t="str">
        <f>Raman!D42</f>
        <v>Vandy</v>
      </c>
      <c r="E42" s="15" t="str">
        <f>Porter!D42</f>
        <v>Vandy</v>
      </c>
      <c r="F42" s="15" t="str">
        <f>Chuck!D42</f>
        <v>Vandy</v>
      </c>
      <c r="G42" s="15" t="str">
        <f>Shelly!D42</f>
        <v>Nebraska</v>
      </c>
      <c r="H42" s="15" t="str">
        <f>Kim!D42</f>
        <v>Nebraska</v>
      </c>
      <c r="I42" s="15" t="str">
        <f>Tucker!D42</f>
        <v>Nebraska</v>
      </c>
    </row>
    <row r="43" spans="1:9" ht="15.75" customHeight="1" x14ac:dyDescent="0.2">
      <c r="A43" s="12" t="s">
        <v>45</v>
      </c>
      <c r="B43" s="13" t="s">
        <v>52</v>
      </c>
      <c r="C43" s="14" t="str">
        <f>Master_Results!D40</f>
        <v>UConn</v>
      </c>
      <c r="D43" s="15" t="str">
        <f>Raman!D43</f>
        <v>North Carolina</v>
      </c>
      <c r="E43" s="15" t="str">
        <f>Porter!D43</f>
        <v>Nebraska</v>
      </c>
      <c r="F43" s="15" t="str">
        <f>Chuck!D43</f>
        <v>Nebraska</v>
      </c>
      <c r="G43" s="15" t="str">
        <f>Shelly!D43</f>
        <v>VCU</v>
      </c>
      <c r="H43" s="15" t="str">
        <f>Kim!D43</f>
        <v>North Carolina</v>
      </c>
      <c r="I43" s="15" t="str">
        <f>Tucker!D43</f>
        <v>Illinois</v>
      </c>
    </row>
    <row r="44" spans="1:9" ht="15.75" customHeight="1" x14ac:dyDescent="0.2">
      <c r="A44" s="12" t="s">
        <v>45</v>
      </c>
      <c r="B44" s="13" t="s">
        <v>53</v>
      </c>
      <c r="C44" s="14" t="str">
        <f>Master_Results!D41</f>
        <v>Iowa</v>
      </c>
      <c r="D44" s="15" t="str">
        <f>Raman!D44</f>
        <v>Houston</v>
      </c>
      <c r="E44" s="15" t="str">
        <f>Porter!D44</f>
        <v>Houston</v>
      </c>
      <c r="F44" s="15" t="str">
        <f>Chuck!D44</f>
        <v>Houston</v>
      </c>
      <c r="G44" s="15" t="str">
        <f>Shelly!D44</f>
        <v>Houston</v>
      </c>
      <c r="H44" s="15" t="str">
        <f>Kim!D44</f>
        <v>Houston</v>
      </c>
      <c r="I44" s="15" t="str">
        <f>Tucker!D44</f>
        <v>Houston</v>
      </c>
    </row>
    <row r="45" spans="1:9" ht="15.75" customHeight="1" x14ac:dyDescent="0.2">
      <c r="A45" s="12" t="s">
        <v>45</v>
      </c>
      <c r="B45" s="13" t="s">
        <v>54</v>
      </c>
      <c r="C45" s="14" t="str">
        <f>Master_Results!D42</f>
        <v>Nebraska</v>
      </c>
      <c r="D45" s="15" t="str">
        <f>Raman!D45</f>
        <v>Arizona</v>
      </c>
      <c r="E45" s="15" t="str">
        <f>Porter!D45</f>
        <v>Arizona</v>
      </c>
      <c r="F45" s="15" t="str">
        <f>Chuck!D45</f>
        <v>Arizona</v>
      </c>
      <c r="G45" s="15" t="str">
        <f>Shelly!D45</f>
        <v>Arizona</v>
      </c>
      <c r="H45" s="15" t="str">
        <f>Kim!D45</f>
        <v>Arizona</v>
      </c>
      <c r="I45" s="15" t="str">
        <f>Tucker!D45</f>
        <v>Arizona</v>
      </c>
    </row>
    <row r="46" spans="1:9" ht="15.75" customHeight="1" x14ac:dyDescent="0.2">
      <c r="A46" s="12" t="s">
        <v>45</v>
      </c>
      <c r="B46" s="13" t="s">
        <v>55</v>
      </c>
      <c r="C46" s="14" t="str">
        <f>Master_Results!D43</f>
        <v>Illinois</v>
      </c>
      <c r="D46" s="15" t="str">
        <f>Raman!D46</f>
        <v>Arkansas</v>
      </c>
      <c r="E46" s="15" t="str">
        <f>Porter!D46</f>
        <v>Arkansas</v>
      </c>
      <c r="F46" s="15" t="str">
        <f>Chuck!D46</f>
        <v>Arkansas</v>
      </c>
      <c r="G46" s="15" t="str">
        <f>Shelly!D46</f>
        <v>Arkansas</v>
      </c>
      <c r="H46" s="15" t="str">
        <f>Kim!D46</f>
        <v>Arkansas</v>
      </c>
      <c r="I46" s="15" t="str">
        <f>Tucker!D46</f>
        <v>Wisconsin</v>
      </c>
    </row>
    <row r="47" spans="1:9" ht="15.75" customHeight="1" x14ac:dyDescent="0.2">
      <c r="A47" s="12" t="s">
        <v>45</v>
      </c>
      <c r="B47" s="13" t="s">
        <v>56</v>
      </c>
      <c r="C47" s="14" t="str">
        <f>Master_Results!D44</f>
        <v>Houston</v>
      </c>
      <c r="D47" s="15" t="str">
        <f>Raman!D47</f>
        <v>Gonzaga</v>
      </c>
      <c r="E47" s="15" t="str">
        <f>Porter!D47</f>
        <v>Gonzaga</v>
      </c>
      <c r="F47" s="15" t="str">
        <f>Chuck!D47</f>
        <v>Gonzaga</v>
      </c>
      <c r="G47" s="15" t="str">
        <f>Shelly!D47</f>
        <v>BYU</v>
      </c>
      <c r="H47" s="15" t="str">
        <f>Kim!D47</f>
        <v>BYU</v>
      </c>
      <c r="I47" s="15" t="str">
        <f>Tucker!D47</f>
        <v>BYU</v>
      </c>
    </row>
    <row r="48" spans="1:9" ht="15.75" customHeight="1" x14ac:dyDescent="0.2">
      <c r="A48" s="12" t="s">
        <v>45</v>
      </c>
      <c r="B48" s="13" t="s">
        <v>57</v>
      </c>
      <c r="C48" s="14" t="str">
        <f>Master_Results!D45</f>
        <v>Arizona</v>
      </c>
      <c r="D48" s="15" t="str">
        <f>Raman!D48</f>
        <v>Purdue</v>
      </c>
      <c r="E48" s="15" t="str">
        <f>Porter!D48</f>
        <v>Purdue</v>
      </c>
      <c r="F48" s="15" t="str">
        <f>Chuck!D48</f>
        <v>Purdue</v>
      </c>
      <c r="G48" s="15" t="str">
        <f>Shelly!D48</f>
        <v>Purdue</v>
      </c>
      <c r="H48" s="15" t="str">
        <f>Kim!D48</f>
        <v>Purdue</v>
      </c>
      <c r="I48" s="15" t="str">
        <f>Tucker!D48</f>
        <v>Purdue</v>
      </c>
    </row>
    <row r="49" spans="1:9" ht="15.75" customHeight="1" x14ac:dyDescent="0.2">
      <c r="A49" s="12" t="s">
        <v>45</v>
      </c>
      <c r="B49" s="13" t="s">
        <v>58</v>
      </c>
      <c r="C49" s="14" t="str">
        <f>Master_Results!D46</f>
        <v>Arkansas</v>
      </c>
      <c r="D49" s="15" t="str">
        <f>Raman!D49</f>
        <v>Michigan</v>
      </c>
      <c r="E49" s="15" t="str">
        <f>Porter!D49</f>
        <v>Michigan</v>
      </c>
      <c r="F49" s="15" t="str">
        <f>Chuck!D49</f>
        <v>Michigan</v>
      </c>
      <c r="G49" s="15" t="str">
        <f>Shelly!D49</f>
        <v>Michigan</v>
      </c>
      <c r="H49" s="15" t="str">
        <f>Kim!D49</f>
        <v>Michigan</v>
      </c>
      <c r="I49" s="15" t="str">
        <f>Tucker!D49</f>
        <v>Michigan</v>
      </c>
    </row>
    <row r="50" spans="1:9" ht="15.75" customHeight="1" x14ac:dyDescent="0.2">
      <c r="A50" s="12" t="s">
        <v>45</v>
      </c>
      <c r="B50" s="13" t="s">
        <v>59</v>
      </c>
      <c r="C50" s="14" t="str">
        <f>Master_Results!D47</f>
        <v>Texas</v>
      </c>
      <c r="D50" s="15" t="str">
        <f>Raman!D50</f>
        <v>Texas Tech</v>
      </c>
      <c r="E50" s="15" t="str">
        <f>Porter!D50</f>
        <v>Alabama</v>
      </c>
      <c r="F50" s="15" t="str">
        <f>Chuck!D50</f>
        <v>Alabama</v>
      </c>
      <c r="G50" s="15" t="str">
        <f>Shelly!D50</f>
        <v>Alabama</v>
      </c>
      <c r="H50" s="15" t="str">
        <f>Kim!D50</f>
        <v>Texas Tech</v>
      </c>
      <c r="I50" s="15" t="str">
        <f>Tucker!D50</f>
        <v>Alabama</v>
      </c>
    </row>
    <row r="51" spans="1:9" ht="15.75" customHeight="1" x14ac:dyDescent="0.2">
      <c r="A51" s="12" t="s">
        <v>45</v>
      </c>
      <c r="B51" s="13" t="s">
        <v>60</v>
      </c>
      <c r="C51" s="14" t="str">
        <f>Master_Results!D48</f>
        <v>Purdue</v>
      </c>
      <c r="D51" s="15" t="str">
        <f>Raman!D51</f>
        <v>Virginia</v>
      </c>
      <c r="E51" s="15" t="str">
        <f>Porter!D51</f>
        <v>Tennessee</v>
      </c>
      <c r="F51" s="15" t="str">
        <f>Chuck!D51</f>
        <v>Tennessee</v>
      </c>
      <c r="G51" s="15" t="str">
        <f>Shelly!D51</f>
        <v>Tennessee</v>
      </c>
      <c r="H51" s="15" t="str">
        <f>Kim!D51</f>
        <v>Tennessee</v>
      </c>
      <c r="I51" s="15" t="str">
        <f>Tucker!D51</f>
        <v>Virginia</v>
      </c>
    </row>
    <row r="52" spans="1:9" ht="15.75" customHeight="1" x14ac:dyDescent="0.2">
      <c r="A52" s="12" t="s">
        <v>45</v>
      </c>
      <c r="B52" s="13" t="s">
        <v>61</v>
      </c>
      <c r="C52" s="14" t="str">
        <f>Master_Results!D49</f>
        <v>Michigan</v>
      </c>
      <c r="D52" s="15" t="str">
        <f>Raman!D52</f>
        <v>Iowa State</v>
      </c>
      <c r="E52" s="15" t="str">
        <f>Porter!D52</f>
        <v>Iowa State</v>
      </c>
      <c r="F52" s="15" t="str">
        <f>Chuck!D52</f>
        <v>Iowa State</v>
      </c>
      <c r="G52" s="15" t="str">
        <f>Shelly!D52</f>
        <v>Kentucky</v>
      </c>
      <c r="H52" s="15" t="str">
        <f>Kim!D52</f>
        <v>Iowa State</v>
      </c>
      <c r="I52" s="15" t="str">
        <f>Tucker!D52</f>
        <v>Iowa State</v>
      </c>
    </row>
    <row r="53" spans="1:9" ht="18.75" customHeight="1" x14ac:dyDescent="0.2">
      <c r="A53" s="75" t="s">
        <v>62</v>
      </c>
      <c r="B53" s="69"/>
      <c r="C53" s="69"/>
      <c r="D53" s="69"/>
      <c r="E53" s="69"/>
      <c r="F53" s="69"/>
      <c r="G53" s="69"/>
      <c r="H53" s="69"/>
      <c r="I53" s="71"/>
    </row>
    <row r="54" spans="1:9" ht="15.75" customHeight="1" x14ac:dyDescent="0.2">
      <c r="A54" s="16" t="s">
        <v>63</v>
      </c>
      <c r="B54" s="17" t="s">
        <v>46</v>
      </c>
      <c r="C54" s="18" t="str">
        <f>Master_Results!D50</f>
        <v>Alabama</v>
      </c>
      <c r="D54" s="19" t="str">
        <f>Raman!D54</f>
        <v>Duke</v>
      </c>
      <c r="E54" s="19" t="str">
        <f>Porter!D54</f>
        <v>Duke</v>
      </c>
      <c r="F54" s="19" t="str">
        <f>Chuck!D54</f>
        <v>Duke</v>
      </c>
      <c r="G54" s="19" t="str">
        <f>Shelly!D54</f>
        <v>Duke</v>
      </c>
      <c r="H54" s="19" t="str">
        <f>Kim!D54</f>
        <v>Duke</v>
      </c>
      <c r="I54" s="19" t="str">
        <f>Tucker!D54</f>
        <v>Duke</v>
      </c>
    </row>
    <row r="55" spans="1:9" ht="15.75" customHeight="1" x14ac:dyDescent="0.2">
      <c r="A55" s="16" t="s">
        <v>63</v>
      </c>
      <c r="B55" s="17" t="s">
        <v>47</v>
      </c>
      <c r="C55" s="18" t="str">
        <f>Master_Results!D51</f>
        <v>Tennessee</v>
      </c>
      <c r="D55" s="19" t="str">
        <f>Raman!D55</f>
        <v>UCLA</v>
      </c>
      <c r="E55" s="19" t="str">
        <f>Porter!D55</f>
        <v>UConn</v>
      </c>
      <c r="F55" s="19" t="str">
        <f>Chuck!D55</f>
        <v>UConn</v>
      </c>
      <c r="G55" s="19" t="str">
        <f>Shelly!D55</f>
        <v>Mich St</v>
      </c>
      <c r="H55" s="19" t="str">
        <f>Kim!D55</f>
        <v>UConn</v>
      </c>
      <c r="I55" s="19" t="str">
        <f>Tucker!D55</f>
        <v>UConn</v>
      </c>
    </row>
    <row r="56" spans="1:9" ht="15.75" customHeight="1" x14ac:dyDescent="0.2">
      <c r="A56" s="16" t="s">
        <v>63</v>
      </c>
      <c r="B56" s="17" t="s">
        <v>48</v>
      </c>
      <c r="C56" s="18" t="str">
        <f>Master_Results!D52</f>
        <v>Iowa State</v>
      </c>
      <c r="D56" s="19" t="str">
        <f>Raman!D56</f>
        <v>Vandy</v>
      </c>
      <c r="E56" s="19" t="str">
        <f>Porter!D56</f>
        <v>Florida</v>
      </c>
      <c r="F56" s="19" t="str">
        <f>Chuck!D56</f>
        <v>Florida</v>
      </c>
      <c r="G56" s="19" t="str">
        <f>Shelly!D56</f>
        <v>Florida</v>
      </c>
      <c r="H56" s="19" t="str">
        <f>Kim!D56</f>
        <v>North Carolina</v>
      </c>
      <c r="I56" s="19" t="str">
        <f>Tucker!D56</f>
        <v>Florida</v>
      </c>
    </row>
    <row r="57" spans="1:9" ht="15.75" customHeight="1" x14ac:dyDescent="0.2">
      <c r="A57" s="16" t="s">
        <v>63</v>
      </c>
      <c r="B57" s="17" t="s">
        <v>49</v>
      </c>
      <c r="C57" s="18">
        <f>Master_Results!D53</f>
        <v>0</v>
      </c>
      <c r="D57" s="19" t="str">
        <f>Raman!D57</f>
        <v>Houston</v>
      </c>
      <c r="E57" s="19" t="str">
        <f>Porter!D57</f>
        <v>Houston</v>
      </c>
      <c r="F57" s="19" t="str">
        <f>Chuck!D57</f>
        <v>Houston</v>
      </c>
      <c r="G57" s="19" t="str">
        <f>Shelly!D57</f>
        <v>Houston</v>
      </c>
      <c r="H57" s="19" t="str">
        <f>Kim!D57</f>
        <v>Houston</v>
      </c>
      <c r="I57" s="19" t="str">
        <f>Tucker!D57</f>
        <v>Illinois</v>
      </c>
    </row>
    <row r="58" spans="1:9" ht="15.75" customHeight="1" x14ac:dyDescent="0.2">
      <c r="A58" s="16" t="s">
        <v>63</v>
      </c>
      <c r="B58" s="17" t="s">
        <v>50</v>
      </c>
      <c r="C58" s="18" t="str">
        <f>Master_Results!D54</f>
        <v>Duke</v>
      </c>
      <c r="D58" s="19" t="str">
        <f>Raman!D58</f>
        <v>Arizona</v>
      </c>
      <c r="E58" s="19" t="str">
        <f>Porter!D58</f>
        <v>Arizona</v>
      </c>
      <c r="F58" s="19" t="str">
        <f>Chuck!D58</f>
        <v>Arizona</v>
      </c>
      <c r="G58" s="19" t="str">
        <f>Shelly!D58</f>
        <v>Arizona</v>
      </c>
      <c r="H58" s="19" t="str">
        <f>Kim!D58</f>
        <v>Arizona</v>
      </c>
      <c r="I58" s="19" t="str">
        <f>Tucker!D58</f>
        <v>Arizona</v>
      </c>
    </row>
    <row r="59" spans="1:9" ht="15.75" customHeight="1" x14ac:dyDescent="0.2">
      <c r="A59" s="16" t="s">
        <v>63</v>
      </c>
      <c r="B59" s="17" t="s">
        <v>51</v>
      </c>
      <c r="C59" s="18" t="str">
        <f>Master_Results!D55</f>
        <v>UConn</v>
      </c>
      <c r="D59" s="19" t="str">
        <f>Raman!D59</f>
        <v>Purdue</v>
      </c>
      <c r="E59" s="19" t="str">
        <f>Porter!D59</f>
        <v>Purdue</v>
      </c>
      <c r="F59" s="19" t="str">
        <f>Chuck!D59</f>
        <v>Gonzaga</v>
      </c>
      <c r="G59" s="19" t="str">
        <f>Shelly!D59</f>
        <v>Purdue</v>
      </c>
      <c r="H59" s="19" t="str">
        <f>Kim!D59</f>
        <v>Purdue</v>
      </c>
      <c r="I59" s="19" t="str">
        <f>Tucker!D59</f>
        <v>Purdue</v>
      </c>
    </row>
    <row r="60" spans="1:9" ht="15.75" customHeight="1" x14ac:dyDescent="0.2">
      <c r="A60" s="16" t="s">
        <v>63</v>
      </c>
      <c r="B60" s="17" t="s">
        <v>52</v>
      </c>
      <c r="C60" s="18" t="str">
        <f>Master_Results!D56</f>
        <v>Iowa</v>
      </c>
      <c r="D60" s="19" t="str">
        <f>Raman!D60</f>
        <v>Michigan</v>
      </c>
      <c r="E60" s="19" t="str">
        <f>Porter!D60</f>
        <v>Michigan</v>
      </c>
      <c r="F60" s="19" t="str">
        <f>Chuck!D60</f>
        <v>Michigan</v>
      </c>
      <c r="G60" s="19" t="str">
        <f>Shelly!D60</f>
        <v>Michigan</v>
      </c>
      <c r="H60" s="19" t="str">
        <f>Kim!D60</f>
        <v>Michigan</v>
      </c>
      <c r="I60" s="19" t="str">
        <f>Tucker!D60</f>
        <v>Michigan</v>
      </c>
    </row>
    <row r="61" spans="1:9" ht="15.75" customHeight="1" x14ac:dyDescent="0.2">
      <c r="A61" s="16" t="s">
        <v>63</v>
      </c>
      <c r="B61" s="17" t="s">
        <v>53</v>
      </c>
      <c r="C61" s="18" t="str">
        <f>Master_Results!D57</f>
        <v>Illinois</v>
      </c>
      <c r="D61" s="19" t="str">
        <f>Raman!D61</f>
        <v>Iowa</v>
      </c>
      <c r="E61" s="19" t="str">
        <f>Porter!D61</f>
        <v>Alabama</v>
      </c>
      <c r="F61" s="19" t="str">
        <f>Chuck!D61</f>
        <v>Alabama</v>
      </c>
      <c r="G61" s="19" t="str">
        <f>Shelly!D61</f>
        <v>Alabama</v>
      </c>
      <c r="H61" s="19" t="str">
        <f>Kim!D61</f>
        <v>Alabama</v>
      </c>
      <c r="I61" s="19" t="str">
        <f>Tucker!D61</f>
        <v>Virginia</v>
      </c>
    </row>
    <row r="62" spans="1:9" ht="18.75" customHeight="1" x14ac:dyDescent="0.2">
      <c r="A62" s="76" t="s">
        <v>64</v>
      </c>
      <c r="B62" s="69"/>
      <c r="C62" s="69"/>
      <c r="D62" s="69"/>
      <c r="E62" s="69"/>
      <c r="F62" s="69"/>
      <c r="G62" s="69"/>
      <c r="H62" s="69"/>
      <c r="I62" s="71"/>
    </row>
    <row r="63" spans="1:9" ht="15.75" customHeight="1" x14ac:dyDescent="0.2">
      <c r="A63" s="20" t="s">
        <v>65</v>
      </c>
      <c r="B63" s="21" t="s">
        <v>46</v>
      </c>
      <c r="C63" s="22" t="str">
        <f>Master_Results!D58</f>
        <v>Arizona</v>
      </c>
      <c r="D63" s="23" t="str">
        <f>Raman!D63</f>
        <v>Duke</v>
      </c>
      <c r="E63" s="23" t="str">
        <f>Porter!D63</f>
        <v>UConn</v>
      </c>
      <c r="F63" s="23" t="str">
        <f>Chuck!D63</f>
        <v>Duke</v>
      </c>
      <c r="G63" s="23" t="str">
        <f>Shelly!D63</f>
        <v>Duke</v>
      </c>
      <c r="H63" s="23" t="str">
        <f>Kim!D63</f>
        <v>UConn</v>
      </c>
      <c r="I63" s="23" t="str">
        <f>Tucker!D63</f>
        <v>Duke</v>
      </c>
    </row>
    <row r="64" spans="1:9" ht="15.75" customHeight="1" x14ac:dyDescent="0.2">
      <c r="A64" s="20" t="s">
        <v>65</v>
      </c>
      <c r="B64" s="21" t="s">
        <v>47</v>
      </c>
      <c r="C64" s="22" t="str">
        <f>Master_Results!D59</f>
        <v>Purdue</v>
      </c>
      <c r="D64" s="23" t="str">
        <f>Raman!D64</f>
        <v>Houston</v>
      </c>
      <c r="E64" s="23" t="str">
        <f>Porter!D64</f>
        <v>Houston</v>
      </c>
      <c r="F64" s="23" t="str">
        <f>Chuck!D64</f>
        <v>Houston</v>
      </c>
      <c r="G64" s="23" t="str">
        <f>Shelly!D64</f>
        <v>Houston</v>
      </c>
      <c r="H64" s="23" t="str">
        <f>Kim!D64</f>
        <v>North Carolina</v>
      </c>
      <c r="I64" s="23" t="str">
        <f>Tucker!D64</f>
        <v>Illinois</v>
      </c>
    </row>
    <row r="65" spans="1:9" ht="15.75" customHeight="1" x14ac:dyDescent="0.2">
      <c r="A65" s="20" t="s">
        <v>65</v>
      </c>
      <c r="B65" s="21" t="s">
        <v>48</v>
      </c>
      <c r="C65" s="22" t="str">
        <f>Master_Results!D60</f>
        <v>Michigan</v>
      </c>
      <c r="D65" s="23" t="str">
        <f>Raman!D65</f>
        <v>Arizona</v>
      </c>
      <c r="E65" s="23" t="str">
        <f>Porter!D65</f>
        <v>Purdue</v>
      </c>
      <c r="F65" s="23" t="str">
        <f>Chuck!D65</f>
        <v>Arizona</v>
      </c>
      <c r="G65" s="23" t="str">
        <f>Shelly!D65</f>
        <v>Arizona</v>
      </c>
      <c r="H65" s="23" t="str">
        <f>Kim!D65</f>
        <v>Arizona</v>
      </c>
      <c r="I65" s="23" t="str">
        <f>Tucker!D65</f>
        <v>Purdue</v>
      </c>
    </row>
    <row r="66" spans="1:9" ht="15.75" customHeight="1" x14ac:dyDescent="0.2">
      <c r="A66" s="20" t="s">
        <v>65</v>
      </c>
      <c r="B66" s="21" t="s">
        <v>49</v>
      </c>
      <c r="C66" s="22" t="str">
        <f>Master_Results!D61</f>
        <v>Tennessee</v>
      </c>
      <c r="D66" s="23" t="str">
        <f>Raman!D66</f>
        <v>Iowa</v>
      </c>
      <c r="E66" s="23" t="str">
        <f>Porter!D66</f>
        <v>Alabama</v>
      </c>
      <c r="F66" s="23" t="str">
        <f>Chuck!D66</f>
        <v>Michigan</v>
      </c>
      <c r="G66" s="23" t="str">
        <f>Shelly!D66</f>
        <v>Alabama</v>
      </c>
      <c r="H66" s="23" t="str">
        <f>Kim!D66</f>
        <v>Michigan</v>
      </c>
      <c r="I66" s="23" t="str">
        <f>Tucker!D66</f>
        <v>Michigan</v>
      </c>
    </row>
    <row r="67" spans="1:9" ht="18.75" customHeight="1" x14ac:dyDescent="0.2">
      <c r="A67" s="73" t="s">
        <v>66</v>
      </c>
      <c r="B67" s="69"/>
      <c r="C67" s="69"/>
      <c r="D67" s="69"/>
      <c r="E67" s="69"/>
      <c r="F67" s="69"/>
      <c r="G67" s="69"/>
      <c r="H67" s="69"/>
      <c r="I67" s="71"/>
    </row>
    <row r="68" spans="1:9" ht="15.75" customHeight="1" x14ac:dyDescent="0.2">
      <c r="A68" s="24" t="s">
        <v>67</v>
      </c>
      <c r="B68" s="25" t="s">
        <v>46</v>
      </c>
      <c r="C68" s="26">
        <f>Master_Results!D62</f>
        <v>0</v>
      </c>
      <c r="D68" s="27" t="str">
        <f>Raman!D68</f>
        <v>Duke</v>
      </c>
      <c r="E68" s="27" t="str">
        <f>Porter!D68</f>
        <v>UConn</v>
      </c>
      <c r="F68" s="27" t="str">
        <f>Chuck!D68</f>
        <v>Duke</v>
      </c>
      <c r="G68" s="27" t="str">
        <f>Shelly!D68</f>
        <v>Duke</v>
      </c>
      <c r="H68" s="27" t="str">
        <f>Kim!D68</f>
        <v>UConn</v>
      </c>
      <c r="I68" s="27" t="str">
        <f>Tucker!D68</f>
        <v>Duke</v>
      </c>
    </row>
    <row r="69" spans="1:9" ht="15.75" customHeight="1" x14ac:dyDescent="0.2">
      <c r="A69" s="24" t="s">
        <v>67</v>
      </c>
      <c r="B69" s="25" t="s">
        <v>47</v>
      </c>
      <c r="C69" s="26" t="str">
        <f>Master_Results!D63</f>
        <v>UConn</v>
      </c>
      <c r="D69" s="27" t="str">
        <f>Raman!D69</f>
        <v>Iowa</v>
      </c>
      <c r="E69" s="27" t="str">
        <f>Porter!D69</f>
        <v>Purdue</v>
      </c>
      <c r="F69" s="27" t="str">
        <f>Chuck!D69</f>
        <v>Arizona</v>
      </c>
      <c r="G69" s="27" t="str">
        <f>Shelly!D69</f>
        <v>Alabama</v>
      </c>
      <c r="H69" s="27" t="str">
        <f>Kim!D69</f>
        <v>Arizona</v>
      </c>
      <c r="I69" s="27" t="str">
        <f>Tucker!D69</f>
        <v>Michigan</v>
      </c>
    </row>
    <row r="70" spans="1:9" ht="18.75" customHeight="1" x14ac:dyDescent="0.2">
      <c r="A70" s="72" t="s">
        <v>68</v>
      </c>
      <c r="B70" s="69"/>
      <c r="C70" s="69"/>
      <c r="D70" s="69"/>
      <c r="E70" s="69"/>
      <c r="F70" s="69"/>
      <c r="G70" s="69"/>
      <c r="H70" s="69"/>
      <c r="I70" s="71"/>
    </row>
    <row r="71" spans="1:9" ht="15.75" customHeight="1" x14ac:dyDescent="0.2">
      <c r="A71" s="28" t="s">
        <v>69</v>
      </c>
      <c r="B71" s="29" t="s">
        <v>46</v>
      </c>
      <c r="C71" s="30" t="str">
        <f>Master_Results!D64</f>
        <v>Illinois</v>
      </c>
      <c r="D71" s="31" t="str">
        <f>Raman!D71</f>
        <v>Duke</v>
      </c>
      <c r="E71" s="31" t="str">
        <f>Porter!D71</f>
        <v>UConn</v>
      </c>
      <c r="F71" s="31" t="str">
        <f>Chuck!D71</f>
        <v>Duke</v>
      </c>
      <c r="G71" s="31" t="str">
        <f>Shelly!D71</f>
        <v>Duke</v>
      </c>
      <c r="H71" s="31" t="str">
        <f>Kim!D71</f>
        <v>Arizona</v>
      </c>
      <c r="I71" s="31" t="str">
        <f>Tucker!D71</f>
        <v>Duke</v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dxfId="17" priority="4">
      <formula>$C3&lt;&gt;""</formula>
    </cfRule>
  </conditionalFormatting>
  <conditionalFormatting sqref="D3:I71">
    <cfRule type="expression" dxfId="16" priority="2">
      <formula>AND($C3&lt;&gt;"",D3=$C3)</formula>
    </cfRule>
    <cfRule type="expression" dxfId="15" priority="3">
      <formula>AND($C3&lt;&gt;"",D3&lt;&gt;$C3)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3"/>
  <sheetViews>
    <sheetView zoomScaleNormal="100" workbookViewId="0">
      <pane ySplit="2" topLeftCell="A11" activePane="bottomLeft" state="frozen"/>
      <selection pane="bottomLeft" activeCell="C8" sqref="C8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70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80</v>
      </c>
      <c r="E5" s="36">
        <v>1</v>
      </c>
      <c r="F5" s="11">
        <f>IF(Master_Results!$D$5="","",IF(D5=Master_Results!$D$5,1,0))</f>
        <v>1</v>
      </c>
      <c r="G5" s="11">
        <f t="shared" si="0"/>
        <v>1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82</v>
      </c>
      <c r="E6" s="36">
        <v>1</v>
      </c>
      <c r="F6" s="11">
        <f>IF(Master_Results!$D$6="","",IF(D6=Master_Results!$D$6,1,0))</f>
        <v>1</v>
      </c>
      <c r="G6" s="11">
        <f t="shared" si="0"/>
        <v>1</v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>
        <f>IF(Master_Results!$D$7="","",IF(D7=Master_Results!$D$7,1,0))</f>
        <v>1</v>
      </c>
      <c r="G7" s="11">
        <f t="shared" si="0"/>
        <v>1</v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86</v>
      </c>
      <c r="E8" s="36">
        <v>1</v>
      </c>
      <c r="F8" s="11">
        <f>IF(Master_Results!$D$8="","",IF(D8=Master_Results!$D$8,1,0))</f>
        <v>0</v>
      </c>
      <c r="G8" s="11">
        <f t="shared" si="0"/>
        <v>0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>
        <f>IF(Master_Results!$D$9="","",IF(D9=Master_Results!$D$9,1,0))</f>
        <v>1</v>
      </c>
      <c r="G9" s="11">
        <f t="shared" si="0"/>
        <v>1</v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90</v>
      </c>
      <c r="E10" s="36">
        <v>1</v>
      </c>
      <c r="F10" s="11">
        <f>IF(Master_Results!$D$10="","",IF(D10=Master_Results!$D$10,1,0))</f>
        <v>0</v>
      </c>
      <c r="G10" s="11">
        <f t="shared" si="0"/>
        <v>0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96</v>
      </c>
      <c r="E13" s="36">
        <v>1</v>
      </c>
      <c r="F13" s="11">
        <f>IF(Master_Results!$D$13="","",IF(D13=Master_Results!$D$13,1,0))</f>
        <v>1</v>
      </c>
      <c r="G13" s="11">
        <f t="shared" si="0"/>
        <v>1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102</v>
      </c>
      <c r="E16" s="36">
        <v>1</v>
      </c>
      <c r="F16" s="11">
        <f>IF(Master_Results!$D$16="","",IF(D16=Master_Results!$D$16,1,0))</f>
        <v>1</v>
      </c>
      <c r="G16" s="11">
        <f t="shared" si="0"/>
        <v>1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106</v>
      </c>
      <c r="E18" s="36">
        <v>1</v>
      </c>
      <c r="F18" s="11">
        <f>IF(Master_Results!$D$18="","",IF(D18=Master_Results!$D$18,1,0))</f>
        <v>0</v>
      </c>
      <c r="G18" s="11">
        <f t="shared" si="0"/>
        <v>0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128</v>
      </c>
      <c r="E29" s="36">
        <v>1</v>
      </c>
      <c r="F29" s="11">
        <f>IF(Master_Results!$D$29="","",IF(D29=Master_Results!$D$29,1,0))</f>
        <v>0</v>
      </c>
      <c r="G29" s="11">
        <f t="shared" si="0"/>
        <v>0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140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141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142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143</v>
      </c>
      <c r="C38" s="13" t="s">
        <v>47</v>
      </c>
      <c r="D38" s="38" t="s">
        <v>84</v>
      </c>
      <c r="E38" s="39">
        <v>2</v>
      </c>
      <c r="F38" s="15">
        <f>IF(Master_Results!$D$38="","",IF(D38=Master_Results!$D$38,1,0))</f>
        <v>0</v>
      </c>
      <c r="G38" s="15">
        <f t="shared" si="1"/>
        <v>0</v>
      </c>
    </row>
    <row r="39" spans="1:8" ht="15.75" customHeight="1" x14ac:dyDescent="0.2">
      <c r="A39" s="12" t="s">
        <v>45</v>
      </c>
      <c r="B39" s="37" t="s">
        <v>144</v>
      </c>
      <c r="C39" s="13" t="s">
        <v>48</v>
      </c>
      <c r="D39" s="38" t="s">
        <v>145</v>
      </c>
      <c r="E39" s="39">
        <v>2</v>
      </c>
      <c r="F39" s="15">
        <f>IF(Master_Results!$D$39="","",IF(D39=Master_Results!$D$39,1,0))</f>
        <v>0</v>
      </c>
      <c r="G39" s="15">
        <f t="shared" si="1"/>
        <v>0</v>
      </c>
    </row>
    <row r="40" spans="1:8" ht="15.75" customHeight="1" x14ac:dyDescent="0.2">
      <c r="A40" s="12" t="s">
        <v>45</v>
      </c>
      <c r="B40" s="37" t="s">
        <v>146</v>
      </c>
      <c r="C40" s="13" t="s">
        <v>49</v>
      </c>
      <c r="D40" s="38" t="s">
        <v>92</v>
      </c>
      <c r="E40" s="39">
        <v>2</v>
      </c>
      <c r="F40" s="15">
        <f>IF(Master_Results!$D$40="","",IF(D40=Master_Results!$D$40,1,0))</f>
        <v>1</v>
      </c>
      <c r="G40" s="15">
        <f t="shared" si="1"/>
        <v>2</v>
      </c>
    </row>
    <row r="41" spans="1:8" ht="15.75" customHeight="1" x14ac:dyDescent="0.2">
      <c r="A41" s="12" t="s">
        <v>45</v>
      </c>
      <c r="B41" s="37" t="s">
        <v>147</v>
      </c>
      <c r="C41" s="13" t="s">
        <v>50</v>
      </c>
      <c r="D41" s="38" t="s">
        <v>94</v>
      </c>
      <c r="E41" s="39">
        <v>2</v>
      </c>
      <c r="F41" s="15">
        <f>IF(Master_Results!$D$41="","",IF(D41=Master_Results!$D$41,1,0))</f>
        <v>0</v>
      </c>
      <c r="G41" s="15">
        <f t="shared" si="1"/>
        <v>0</v>
      </c>
    </row>
    <row r="42" spans="1:8" ht="15.75" customHeight="1" x14ac:dyDescent="0.2">
      <c r="A42" s="12" t="s">
        <v>45</v>
      </c>
      <c r="B42" s="37" t="s">
        <v>148</v>
      </c>
      <c r="C42" s="13" t="s">
        <v>51</v>
      </c>
      <c r="D42" s="38" t="s">
        <v>100</v>
      </c>
      <c r="E42" s="39">
        <v>2</v>
      </c>
      <c r="F42" s="15">
        <f>IF(Master_Results!$D$42="","",IF(D42=Master_Results!$D$42,1,0))</f>
        <v>1</v>
      </c>
      <c r="G42" s="15">
        <f t="shared" si="1"/>
        <v>2</v>
      </c>
    </row>
    <row r="43" spans="1:8" ht="15.75" customHeight="1" x14ac:dyDescent="0.2">
      <c r="A43" s="12" t="s">
        <v>45</v>
      </c>
      <c r="B43" s="37" t="s">
        <v>149</v>
      </c>
      <c r="C43" s="13" t="s">
        <v>52</v>
      </c>
      <c r="D43" s="38" t="s">
        <v>104</v>
      </c>
      <c r="E43" s="39">
        <v>2</v>
      </c>
      <c r="F43" s="15">
        <f>IF(Master_Results!$D$43="","",IF(D43=Master_Results!$D$43,1,0))</f>
        <v>1</v>
      </c>
      <c r="G43" s="15">
        <f t="shared" si="1"/>
        <v>2</v>
      </c>
    </row>
    <row r="44" spans="1:8" ht="15.75" customHeight="1" x14ac:dyDescent="0.2">
      <c r="A44" s="12" t="s">
        <v>45</v>
      </c>
      <c r="B44" s="37" t="s">
        <v>150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151</v>
      </c>
      <c r="C45" s="13" t="s">
        <v>54</v>
      </c>
      <c r="D45" s="38" t="s">
        <v>110</v>
      </c>
      <c r="E45" s="39">
        <v>2</v>
      </c>
      <c r="F45" s="15">
        <f>IF(Master_Results!$D$45="","",IF(D45=Master_Results!$D$45,1,0))</f>
        <v>1</v>
      </c>
      <c r="G45" s="15">
        <f t="shared" si="1"/>
        <v>2</v>
      </c>
    </row>
    <row r="46" spans="1:8" ht="15.75" customHeight="1" x14ac:dyDescent="0.2">
      <c r="A46" s="12" t="s">
        <v>45</v>
      </c>
      <c r="B46" s="37" t="s">
        <v>152</v>
      </c>
      <c r="C46" s="13" t="s">
        <v>55</v>
      </c>
      <c r="D46" s="38" t="s">
        <v>114</v>
      </c>
      <c r="E46" s="39">
        <v>2</v>
      </c>
      <c r="F46" s="15">
        <f>IF(Master_Results!$D$46="","",IF(D46=Master_Results!$D$46,1,0))</f>
        <v>0</v>
      </c>
      <c r="G46" s="15">
        <f t="shared" si="1"/>
        <v>0</v>
      </c>
    </row>
    <row r="47" spans="1:8" ht="15.75" customHeight="1" x14ac:dyDescent="0.2">
      <c r="A47" s="12" t="s">
        <v>45</v>
      </c>
      <c r="B47" s="37" t="s">
        <v>153</v>
      </c>
      <c r="C47" s="13" t="s">
        <v>56</v>
      </c>
      <c r="D47" s="38" t="s">
        <v>118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154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155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156</v>
      </c>
      <c r="C50" s="13" t="s">
        <v>59</v>
      </c>
      <c r="D50" s="38" t="s">
        <v>132</v>
      </c>
      <c r="E50" s="39">
        <v>2</v>
      </c>
      <c r="F50" s="15">
        <f>IF(Master_Results!$D$50="","",IF(D50=Master_Results!$D$50,1,0))</f>
        <v>1</v>
      </c>
      <c r="G50" s="15">
        <f t="shared" si="1"/>
        <v>2</v>
      </c>
    </row>
    <row r="51" spans="1:8" ht="15.75" customHeight="1" x14ac:dyDescent="0.2">
      <c r="A51" s="12" t="s">
        <v>45</v>
      </c>
      <c r="B51" s="37" t="s">
        <v>157</v>
      </c>
      <c r="C51" s="13" t="s">
        <v>60</v>
      </c>
      <c r="D51" s="38" t="s">
        <v>136</v>
      </c>
      <c r="E51" s="39">
        <v>2</v>
      </c>
      <c r="F51" s="15">
        <f>IF(Master_Results!$D$51="","",IF(D51=Master_Results!$D$51,1,0))</f>
        <v>0</v>
      </c>
      <c r="G51" s="15">
        <f t="shared" si="1"/>
        <v>0</v>
      </c>
    </row>
    <row r="52" spans="1:8" ht="15.75" customHeight="1" x14ac:dyDescent="0.2">
      <c r="A52" s="12" t="s">
        <v>45</v>
      </c>
      <c r="B52" s="37" t="s">
        <v>158</v>
      </c>
      <c r="C52" s="13" t="s">
        <v>61</v>
      </c>
      <c r="D52" s="35" t="s">
        <v>140</v>
      </c>
      <c r="E52" s="39">
        <v>2</v>
      </c>
      <c r="F52" s="15">
        <f>IF(Master_Results!$D$52="","",IF(D52=Master_Results!$D$52,1,0))</f>
        <v>1</v>
      </c>
      <c r="G52" s="15">
        <f t="shared" si="1"/>
        <v>2</v>
      </c>
    </row>
    <row r="53" spans="1:8" ht="19.5" customHeight="1" x14ac:dyDescent="0.2">
      <c r="A53" s="75" t="s">
        <v>159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160</v>
      </c>
      <c r="C54" s="17" t="s">
        <v>46</v>
      </c>
      <c r="D54" s="41" t="s">
        <v>78</v>
      </c>
      <c r="E54" s="42">
        <v>4</v>
      </c>
      <c r="F54" s="19">
        <f>IF(Master_Results!$D$54="","",IF(D54=Master_Results!$D$54,1,0))</f>
        <v>1</v>
      </c>
      <c r="G54" s="19">
        <f t="shared" ref="G54:G61" si="2">IF(F54="","",E54*F54)</f>
        <v>4</v>
      </c>
    </row>
    <row r="55" spans="1:8" ht="15.75" customHeight="1" x14ac:dyDescent="0.2">
      <c r="A55" s="16" t="s">
        <v>63</v>
      </c>
      <c r="B55" s="40" t="s">
        <v>161</v>
      </c>
      <c r="C55" s="17" t="s">
        <v>47</v>
      </c>
      <c r="D55" s="41" t="s">
        <v>92</v>
      </c>
      <c r="E55" s="42">
        <v>4</v>
      </c>
      <c r="F55" s="19">
        <f>IF(Master_Results!$D$55="","",IF(D55=Master_Results!$D$55,1,0))</f>
        <v>1</v>
      </c>
      <c r="G55" s="19">
        <f t="shared" si="2"/>
        <v>4</v>
      </c>
    </row>
    <row r="56" spans="1:8" ht="15.75" customHeight="1" x14ac:dyDescent="0.2">
      <c r="A56" s="16" t="s">
        <v>63</v>
      </c>
      <c r="B56" s="40" t="s">
        <v>162</v>
      </c>
      <c r="C56" s="17" t="s">
        <v>48</v>
      </c>
      <c r="D56" s="41" t="s">
        <v>94</v>
      </c>
      <c r="E56" s="42">
        <v>4</v>
      </c>
      <c r="F56" s="19">
        <f>IF(Master_Results!$D$56="","",IF(D56=Master_Results!$D$56,1,0))</f>
        <v>0</v>
      </c>
      <c r="G56" s="19">
        <f t="shared" si="2"/>
        <v>0</v>
      </c>
    </row>
    <row r="57" spans="1:8" ht="15.75" customHeight="1" x14ac:dyDescent="0.2">
      <c r="A57" s="16" t="s">
        <v>63</v>
      </c>
      <c r="B57" s="40" t="s">
        <v>163</v>
      </c>
      <c r="C57" s="17" t="s">
        <v>49</v>
      </c>
      <c r="D57" s="41" t="s">
        <v>104</v>
      </c>
      <c r="E57" s="42">
        <v>4</v>
      </c>
      <c r="F57" s="19">
        <f>IF(Master_Results!$D$57="","",IF(D57=Master_Results!$D$57,1,0))</f>
        <v>1</v>
      </c>
      <c r="G57" s="19">
        <f t="shared" si="2"/>
        <v>4</v>
      </c>
    </row>
    <row r="58" spans="1:8" ht="15.75" customHeight="1" x14ac:dyDescent="0.2">
      <c r="A58" s="16" t="s">
        <v>63</v>
      </c>
      <c r="B58" s="40" t="s">
        <v>164</v>
      </c>
      <c r="C58" s="17" t="s">
        <v>50</v>
      </c>
      <c r="D58" s="41" t="s">
        <v>110</v>
      </c>
      <c r="E58" s="42">
        <v>4</v>
      </c>
      <c r="F58" s="19">
        <f>IF(Master_Results!$D$58="","",IF(D58=Master_Results!$D$58,1,0))</f>
        <v>1</v>
      </c>
      <c r="G58" s="19">
        <f t="shared" si="2"/>
        <v>4</v>
      </c>
    </row>
    <row r="59" spans="1:8" ht="15.75" customHeight="1" x14ac:dyDescent="0.2">
      <c r="A59" s="16" t="s">
        <v>63</v>
      </c>
      <c r="B59" s="40" t="s">
        <v>165</v>
      </c>
      <c r="C59" s="17" t="s">
        <v>51</v>
      </c>
      <c r="D59" s="41" t="s">
        <v>124</v>
      </c>
      <c r="E59" s="42">
        <v>4</v>
      </c>
      <c r="F59" s="19">
        <f>IF(Master_Results!$D$59="","",IF(D59=Master_Results!$D$59,1,0))</f>
        <v>1</v>
      </c>
      <c r="G59" s="19">
        <f t="shared" si="2"/>
        <v>4</v>
      </c>
    </row>
    <row r="60" spans="1:8" ht="15.75" customHeight="1" x14ac:dyDescent="0.2">
      <c r="A60" s="16" t="s">
        <v>63</v>
      </c>
      <c r="B60" s="40" t="s">
        <v>166</v>
      </c>
      <c r="C60" s="17" t="s">
        <v>52</v>
      </c>
      <c r="D60" s="41" t="s">
        <v>126</v>
      </c>
      <c r="E60" s="42">
        <v>4</v>
      </c>
      <c r="F60" s="19">
        <f>IF(Master_Results!$D$60="","",IF(D60=Master_Results!$D$60,1,0))</f>
        <v>1</v>
      </c>
      <c r="G60" s="19">
        <f t="shared" si="2"/>
        <v>4</v>
      </c>
    </row>
    <row r="61" spans="1:8" ht="15.75" customHeight="1" x14ac:dyDescent="0.2">
      <c r="A61" s="16" t="s">
        <v>63</v>
      </c>
      <c r="B61" s="40" t="s">
        <v>167</v>
      </c>
      <c r="C61" s="17" t="s">
        <v>53</v>
      </c>
      <c r="D61" s="41" t="s">
        <v>136</v>
      </c>
      <c r="E61" s="42">
        <v>4</v>
      </c>
      <c r="F61" s="19">
        <f>IF(Master_Results!$D$61="","",IF(D61=Master_Results!$D$61,1,0))</f>
        <v>0</v>
      </c>
      <c r="G61" s="19">
        <f t="shared" si="2"/>
        <v>0</v>
      </c>
    </row>
    <row r="62" spans="1:8" ht="19.5" customHeight="1" x14ac:dyDescent="0.2">
      <c r="A62" s="76" t="s">
        <v>168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169</v>
      </c>
      <c r="C63" s="21" t="s">
        <v>46</v>
      </c>
      <c r="D63" s="44" t="s">
        <v>78</v>
      </c>
      <c r="E63" s="45">
        <v>8</v>
      </c>
      <c r="F63" s="23">
        <f>IF(Master_Results!$D$63="","",IF(D63=Master_Results!$D$63,1,0))</f>
        <v>0</v>
      </c>
      <c r="G63" s="23">
        <f>IF(F63="","",E63*F63)</f>
        <v>0</v>
      </c>
    </row>
    <row r="64" spans="1:8" ht="15.75" customHeight="1" x14ac:dyDescent="0.2">
      <c r="A64" s="20" t="s">
        <v>65</v>
      </c>
      <c r="B64" s="43" t="s">
        <v>170</v>
      </c>
      <c r="C64" s="21" t="s">
        <v>47</v>
      </c>
      <c r="D64" s="44" t="s">
        <v>104</v>
      </c>
      <c r="E64" s="45">
        <v>8</v>
      </c>
      <c r="F64" s="23">
        <f>IF(Master_Results!$D$64="","",IF(D64=Master_Results!$D$64,1,0))</f>
        <v>1</v>
      </c>
      <c r="G64" s="23">
        <f>IF(F64="","",E64*F64)</f>
        <v>8</v>
      </c>
    </row>
    <row r="65" spans="1:8" ht="15.75" customHeight="1" x14ac:dyDescent="0.2">
      <c r="A65" s="20" t="s">
        <v>65</v>
      </c>
      <c r="B65" s="43" t="s">
        <v>171</v>
      </c>
      <c r="C65" s="21" t="s">
        <v>48</v>
      </c>
      <c r="D65" s="44" t="s">
        <v>124</v>
      </c>
      <c r="E65" s="45">
        <v>8</v>
      </c>
      <c r="F65" s="23">
        <f>IF(Master_Results!$D$65="","",IF(D65=Master_Results!$D$65,1,0))</f>
        <v>0</v>
      </c>
      <c r="G65" s="23">
        <f>IF(F65="","",E65*F65)</f>
        <v>0</v>
      </c>
    </row>
    <row r="66" spans="1:8" ht="15.75" customHeight="1" x14ac:dyDescent="0.2">
      <c r="A66" s="20" t="s">
        <v>65</v>
      </c>
      <c r="B66" s="43" t="s">
        <v>172</v>
      </c>
      <c r="C66" s="21" t="s">
        <v>49</v>
      </c>
      <c r="D66" s="44" t="s">
        <v>126</v>
      </c>
      <c r="E66" s="45">
        <v>8</v>
      </c>
      <c r="F66" s="23">
        <f>IF(Master_Results!$D$66="","",IF(D66=Master_Results!$D$66,1,0))</f>
        <v>1</v>
      </c>
      <c r="G66" s="23">
        <f>IF(F66="","",E66*F66)</f>
        <v>8</v>
      </c>
    </row>
    <row r="67" spans="1:8" ht="19.5" customHeight="1" x14ac:dyDescent="0.2">
      <c r="A67" s="73" t="s">
        <v>173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174</v>
      </c>
      <c r="C68" s="25" t="s">
        <v>46</v>
      </c>
      <c r="D68" s="47" t="s">
        <v>78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175</v>
      </c>
      <c r="C69" s="25" t="s">
        <v>47</v>
      </c>
      <c r="D69" s="47" t="s">
        <v>126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176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177</v>
      </c>
      <c r="C71" s="29" t="s">
        <v>46</v>
      </c>
      <c r="D71" s="50" t="s">
        <v>78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178</v>
      </c>
      <c r="B73" s="69"/>
      <c r="C73" s="69"/>
      <c r="D73" s="69"/>
      <c r="E73" s="71"/>
      <c r="F73" s="52" t="s">
        <v>179</v>
      </c>
      <c r="G73" s="53">
        <f>SUMIF(F3:F71,1,E3:E71)</f>
        <v>85</v>
      </c>
      <c r="H73" s="54">
        <f>SUMIF(F3:F71,"",E3:E71)</f>
        <v>64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14" priority="1">
      <formula>$F3=1</formula>
    </cfRule>
    <cfRule type="expression" dxfId="13" priority="2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3"/>
  <sheetViews>
    <sheetView zoomScaleNormal="100" workbookViewId="0">
      <pane ySplit="2" topLeftCell="A17" activePane="bottomLeft" state="frozen"/>
      <selection pane="bottomLeft" activeCell="D9" sqref="D9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180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80</v>
      </c>
      <c r="E5" s="36">
        <v>1</v>
      </c>
      <c r="F5" s="11">
        <f>IF(Master_Results!$D$5="","",IF(D5=Master_Results!$D$5,1,0))</f>
        <v>1</v>
      </c>
      <c r="G5" s="11">
        <f t="shared" si="0"/>
        <v>1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82</v>
      </c>
      <c r="E6" s="36">
        <v>1</v>
      </c>
      <c r="F6" s="11">
        <f>IF(Master_Results!$D$6="","",IF(D6=Master_Results!$D$6,1,0))</f>
        <v>1</v>
      </c>
      <c r="G6" s="11">
        <f t="shared" si="0"/>
        <v>1</v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>
        <f>IF(Master_Results!$D$7="","",IF(D7=Master_Results!$D$7,1,0))</f>
        <v>1</v>
      </c>
      <c r="G7" s="11">
        <f t="shared" si="0"/>
        <v>1</v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181</v>
      </c>
      <c r="E8" s="36">
        <v>1</v>
      </c>
      <c r="F8" s="11">
        <f>IF(Master_Results!$D$8="","",IF(D8=Master_Results!$D$8,1,0))</f>
        <v>1</v>
      </c>
      <c r="G8" s="11">
        <f t="shared" si="0"/>
        <v>1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>
        <f>IF(Master_Results!$D$9="","",IF(D9=Master_Results!$D$9,1,0))</f>
        <v>1</v>
      </c>
      <c r="G9" s="11">
        <f t="shared" si="0"/>
        <v>1</v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90</v>
      </c>
      <c r="E10" s="36">
        <v>1</v>
      </c>
      <c r="F10" s="11">
        <f>IF(Master_Results!$D$10="","",IF(D10=Master_Results!$D$10,1,0))</f>
        <v>0</v>
      </c>
      <c r="G10" s="11">
        <f t="shared" si="0"/>
        <v>0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96</v>
      </c>
      <c r="E13" s="36">
        <v>1</v>
      </c>
      <c r="F13" s="11">
        <f>IF(Master_Results!$D$13="","",IF(D13=Master_Results!$D$13,1,0))</f>
        <v>1</v>
      </c>
      <c r="G13" s="11">
        <f t="shared" si="0"/>
        <v>1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182</v>
      </c>
      <c r="E16" s="36">
        <v>1</v>
      </c>
      <c r="F16" s="11">
        <f>IF(Master_Results!$D$16="","",IF(D16=Master_Results!$D$16,1,0))</f>
        <v>0</v>
      </c>
      <c r="G16" s="11">
        <f t="shared" si="0"/>
        <v>0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183</v>
      </c>
      <c r="E18" s="36">
        <v>1</v>
      </c>
      <c r="F18" s="11">
        <f>IF(Master_Results!$D$18="","",IF(D18=Master_Results!$D$18,1,0))</f>
        <v>1</v>
      </c>
      <c r="G18" s="11">
        <f t="shared" si="0"/>
        <v>1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184</v>
      </c>
      <c r="E26" s="36">
        <v>1</v>
      </c>
      <c r="F26" s="11">
        <f>IF(Master_Results!$D$26="","",IF(D26=Master_Results!$D$26,1,0))</f>
        <v>0</v>
      </c>
      <c r="G26" s="11">
        <f t="shared" si="0"/>
        <v>0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128</v>
      </c>
      <c r="E29" s="36">
        <v>1</v>
      </c>
      <c r="F29" s="11">
        <f>IF(Master_Results!$D$29="","",IF(D29=Master_Results!$D$29,1,0))</f>
        <v>0</v>
      </c>
      <c r="G29" s="11">
        <f t="shared" si="0"/>
        <v>0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140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141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142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143</v>
      </c>
      <c r="C38" s="13" t="s">
        <v>47</v>
      </c>
      <c r="D38" s="38" t="s">
        <v>84</v>
      </c>
      <c r="E38" s="39">
        <v>2</v>
      </c>
      <c r="F38" s="15">
        <f>IF(Master_Results!$D$38="","",IF(D38=Master_Results!$D$38,1,0))</f>
        <v>0</v>
      </c>
      <c r="G38" s="15">
        <f t="shared" si="1"/>
        <v>0</v>
      </c>
    </row>
    <row r="39" spans="1:8" ht="15.75" customHeight="1" x14ac:dyDescent="0.2">
      <c r="A39" s="12" t="s">
        <v>45</v>
      </c>
      <c r="B39" s="37" t="s">
        <v>144</v>
      </c>
      <c r="C39" s="13" t="s">
        <v>48</v>
      </c>
      <c r="D39" s="38" t="s">
        <v>145</v>
      </c>
      <c r="E39" s="39">
        <v>2</v>
      </c>
      <c r="F39" s="15">
        <f>IF(Master_Results!$D$39="","",IF(D39=Master_Results!$D$39,1,0))</f>
        <v>0</v>
      </c>
      <c r="G39" s="15">
        <f t="shared" si="1"/>
        <v>0</v>
      </c>
    </row>
    <row r="40" spans="1:8" ht="15.75" customHeight="1" x14ac:dyDescent="0.2">
      <c r="A40" s="12" t="s">
        <v>45</v>
      </c>
      <c r="B40" s="37" t="s">
        <v>146</v>
      </c>
      <c r="C40" s="13" t="s">
        <v>49</v>
      </c>
      <c r="D40" s="38" t="s">
        <v>92</v>
      </c>
      <c r="E40" s="39">
        <v>2</v>
      </c>
      <c r="F40" s="15">
        <f>IF(Master_Results!$D$40="","",IF(D40=Master_Results!$D$40,1,0))</f>
        <v>1</v>
      </c>
      <c r="G40" s="15">
        <f t="shared" si="1"/>
        <v>2</v>
      </c>
    </row>
    <row r="41" spans="1:8" ht="15.75" customHeight="1" x14ac:dyDescent="0.2">
      <c r="A41" s="12" t="s">
        <v>45</v>
      </c>
      <c r="B41" s="37" t="s">
        <v>147</v>
      </c>
      <c r="C41" s="13" t="s">
        <v>50</v>
      </c>
      <c r="D41" s="38" t="s">
        <v>94</v>
      </c>
      <c r="E41" s="39">
        <v>2</v>
      </c>
      <c r="F41" s="15">
        <f>IF(Master_Results!$D$41="","",IF(D41=Master_Results!$D$41,1,0))</f>
        <v>0</v>
      </c>
      <c r="G41" s="15">
        <f t="shared" si="1"/>
        <v>0</v>
      </c>
    </row>
    <row r="42" spans="1:8" ht="15.75" customHeight="1" x14ac:dyDescent="0.2">
      <c r="A42" s="12" t="s">
        <v>45</v>
      </c>
      <c r="B42" s="37" t="s">
        <v>148</v>
      </c>
      <c r="C42" s="13" t="s">
        <v>51</v>
      </c>
      <c r="D42" s="38" t="s">
        <v>100</v>
      </c>
      <c r="E42" s="39">
        <v>2</v>
      </c>
      <c r="F42" s="15">
        <f>IF(Master_Results!$D$42="","",IF(D42=Master_Results!$D$42,1,0))</f>
        <v>1</v>
      </c>
      <c r="G42" s="15">
        <f t="shared" si="1"/>
        <v>2</v>
      </c>
    </row>
    <row r="43" spans="1:8" ht="15.75" customHeight="1" x14ac:dyDescent="0.2">
      <c r="A43" s="12" t="s">
        <v>45</v>
      </c>
      <c r="B43" s="37" t="s">
        <v>149</v>
      </c>
      <c r="C43" s="13" t="s">
        <v>52</v>
      </c>
      <c r="D43" s="38" t="s">
        <v>182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150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151</v>
      </c>
      <c r="C45" s="13" t="s">
        <v>54</v>
      </c>
      <c r="D45" s="38" t="s">
        <v>110</v>
      </c>
      <c r="E45" s="39">
        <v>2</v>
      </c>
      <c r="F45" s="15">
        <f>IF(Master_Results!$D$45="","",IF(D45=Master_Results!$D$45,1,0))</f>
        <v>1</v>
      </c>
      <c r="G45" s="15">
        <f t="shared" si="1"/>
        <v>2</v>
      </c>
    </row>
    <row r="46" spans="1:8" ht="15.75" customHeight="1" x14ac:dyDescent="0.2">
      <c r="A46" s="12" t="s">
        <v>45</v>
      </c>
      <c r="B46" s="37" t="s">
        <v>152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153</v>
      </c>
      <c r="C47" s="13" t="s">
        <v>56</v>
      </c>
      <c r="D47" s="38" t="s">
        <v>118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154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155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156</v>
      </c>
      <c r="C50" s="13" t="s">
        <v>59</v>
      </c>
      <c r="D50" s="38" t="s">
        <v>130</v>
      </c>
      <c r="E50" s="39">
        <v>2</v>
      </c>
      <c r="F50" s="15">
        <f>IF(Master_Results!$D$50="","",IF(D50=Master_Results!$D$50,1,0))</f>
        <v>0</v>
      </c>
      <c r="G50" s="15">
        <f t="shared" si="1"/>
        <v>0</v>
      </c>
    </row>
    <row r="51" spans="1:8" ht="15.75" customHeight="1" x14ac:dyDescent="0.2">
      <c r="A51" s="12" t="s">
        <v>45</v>
      </c>
      <c r="B51" s="37" t="s">
        <v>157</v>
      </c>
      <c r="C51" s="13" t="s">
        <v>60</v>
      </c>
      <c r="D51" s="38" t="s">
        <v>134</v>
      </c>
      <c r="E51" s="39">
        <v>2</v>
      </c>
      <c r="F51" s="15">
        <f>IF(Master_Results!$D$51="","",IF(D51=Master_Results!$D$51,1,0))</f>
        <v>1</v>
      </c>
      <c r="G51" s="15">
        <f t="shared" si="1"/>
        <v>2</v>
      </c>
    </row>
    <row r="52" spans="1:8" ht="15.75" customHeight="1" x14ac:dyDescent="0.2">
      <c r="A52" s="12" t="s">
        <v>45</v>
      </c>
      <c r="B52" s="37" t="s">
        <v>158</v>
      </c>
      <c r="C52" s="13" t="s">
        <v>61</v>
      </c>
      <c r="D52" s="38" t="s">
        <v>140</v>
      </c>
      <c r="E52" s="39">
        <v>2</v>
      </c>
      <c r="F52" s="15">
        <f>IF(Master_Results!$D$52="","",IF(D52=Master_Results!$D$52,1,0))</f>
        <v>1</v>
      </c>
      <c r="G52" s="15">
        <f t="shared" si="1"/>
        <v>2</v>
      </c>
    </row>
    <row r="53" spans="1:8" ht="19.5" customHeight="1" x14ac:dyDescent="0.2">
      <c r="A53" s="75" t="s">
        <v>159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160</v>
      </c>
      <c r="C54" s="17" t="s">
        <v>46</v>
      </c>
      <c r="D54" s="41" t="s">
        <v>78</v>
      </c>
      <c r="E54" s="42">
        <v>4</v>
      </c>
      <c r="F54" s="19">
        <f>IF(Master_Results!$D$54="","",IF(D54=Master_Results!$D$54,1,0))</f>
        <v>1</v>
      </c>
      <c r="G54" s="19">
        <f t="shared" ref="G54:G61" si="2">IF(F54="","",E54*F54)</f>
        <v>4</v>
      </c>
    </row>
    <row r="55" spans="1:8" ht="15.75" customHeight="1" x14ac:dyDescent="0.2">
      <c r="A55" s="16" t="s">
        <v>63</v>
      </c>
      <c r="B55" s="40" t="s">
        <v>161</v>
      </c>
      <c r="C55" s="17" t="s">
        <v>47</v>
      </c>
      <c r="D55" s="41" t="s">
        <v>92</v>
      </c>
      <c r="E55" s="42">
        <v>4</v>
      </c>
      <c r="F55" s="19">
        <f>IF(Master_Results!$D$55="","",IF(D55=Master_Results!$D$55,1,0))</f>
        <v>1</v>
      </c>
      <c r="G55" s="19">
        <f t="shared" si="2"/>
        <v>4</v>
      </c>
    </row>
    <row r="56" spans="1:8" ht="15.75" customHeight="1" x14ac:dyDescent="0.2">
      <c r="A56" s="16" t="s">
        <v>63</v>
      </c>
      <c r="B56" s="40" t="s">
        <v>162</v>
      </c>
      <c r="C56" s="17" t="s">
        <v>48</v>
      </c>
      <c r="D56" s="41" t="s">
        <v>182</v>
      </c>
      <c r="E56" s="42">
        <v>4</v>
      </c>
      <c r="F56" s="19">
        <f>IF(Master_Results!$D$56="","",IF(D56=Master_Results!$D$56,1,0))</f>
        <v>0</v>
      </c>
      <c r="G56" s="19">
        <f t="shared" si="2"/>
        <v>0</v>
      </c>
    </row>
    <row r="57" spans="1:8" ht="15.75" customHeight="1" x14ac:dyDescent="0.2">
      <c r="A57" s="16" t="s">
        <v>63</v>
      </c>
      <c r="B57" s="40" t="s">
        <v>163</v>
      </c>
      <c r="C57" s="17" t="s">
        <v>49</v>
      </c>
      <c r="D57" s="41" t="s">
        <v>108</v>
      </c>
      <c r="E57" s="42">
        <v>4</v>
      </c>
      <c r="F57" s="19">
        <f>IF(Master_Results!$D$57="","",IF(D57=Master_Results!$D$57,1,0))</f>
        <v>0</v>
      </c>
      <c r="G57" s="19">
        <f t="shared" si="2"/>
        <v>0</v>
      </c>
    </row>
    <row r="58" spans="1:8" ht="15.75" customHeight="1" x14ac:dyDescent="0.2">
      <c r="A58" s="16" t="s">
        <v>63</v>
      </c>
      <c r="B58" s="40" t="s">
        <v>164</v>
      </c>
      <c r="C58" s="17" t="s">
        <v>50</v>
      </c>
      <c r="D58" s="41" t="s">
        <v>110</v>
      </c>
      <c r="E58" s="42">
        <v>4</v>
      </c>
      <c r="F58" s="19">
        <f>IF(Master_Results!$D$58="","",IF(D58=Master_Results!$D$58,1,0))</f>
        <v>1</v>
      </c>
      <c r="G58" s="19">
        <f t="shared" si="2"/>
        <v>4</v>
      </c>
    </row>
    <row r="59" spans="1:8" ht="15.75" customHeight="1" x14ac:dyDescent="0.2">
      <c r="A59" s="16" t="s">
        <v>63</v>
      </c>
      <c r="B59" s="40" t="s">
        <v>165</v>
      </c>
      <c r="C59" s="17" t="s">
        <v>51</v>
      </c>
      <c r="D59" s="41" t="s">
        <v>124</v>
      </c>
      <c r="E59" s="42">
        <v>4</v>
      </c>
      <c r="F59" s="19">
        <f>IF(Master_Results!$D$59="","",IF(D59=Master_Results!$D$59,1,0))</f>
        <v>1</v>
      </c>
      <c r="G59" s="19">
        <f t="shared" si="2"/>
        <v>4</v>
      </c>
    </row>
    <row r="60" spans="1:8" ht="15.75" customHeight="1" x14ac:dyDescent="0.2">
      <c r="A60" s="16" t="s">
        <v>63</v>
      </c>
      <c r="B60" s="40" t="s">
        <v>166</v>
      </c>
      <c r="C60" s="17" t="s">
        <v>52</v>
      </c>
      <c r="D60" s="41" t="s">
        <v>126</v>
      </c>
      <c r="E60" s="42">
        <v>4</v>
      </c>
      <c r="F60" s="19">
        <f>IF(Master_Results!$D$60="","",IF(D60=Master_Results!$D$60,1,0))</f>
        <v>1</v>
      </c>
      <c r="G60" s="19">
        <f t="shared" si="2"/>
        <v>4</v>
      </c>
    </row>
    <row r="61" spans="1:8" ht="15.75" customHeight="1" x14ac:dyDescent="0.2">
      <c r="A61" s="16" t="s">
        <v>63</v>
      </c>
      <c r="B61" s="40" t="s">
        <v>167</v>
      </c>
      <c r="C61" s="17" t="s">
        <v>53</v>
      </c>
      <c r="D61" s="41" t="s">
        <v>132</v>
      </c>
      <c r="E61" s="42">
        <v>4</v>
      </c>
      <c r="F61" s="19">
        <f>IF(Master_Results!$D$61="","",IF(D61=Master_Results!$D$61,1,0))</f>
        <v>0</v>
      </c>
      <c r="G61" s="19">
        <f t="shared" si="2"/>
        <v>0</v>
      </c>
    </row>
    <row r="62" spans="1:8" ht="19.5" customHeight="1" x14ac:dyDescent="0.2">
      <c r="A62" s="76" t="s">
        <v>168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169</v>
      </c>
      <c r="C63" s="21" t="s">
        <v>46</v>
      </c>
      <c r="D63" s="44" t="s">
        <v>92</v>
      </c>
      <c r="E63" s="45">
        <v>8</v>
      </c>
      <c r="F63" s="23">
        <f>IF(Master_Results!$D$63="","",IF(D63=Master_Results!$D$63,1,0))</f>
        <v>1</v>
      </c>
      <c r="G63" s="23">
        <f>IF(F63="","",E63*F63)</f>
        <v>8</v>
      </c>
    </row>
    <row r="64" spans="1:8" ht="15.75" customHeight="1" x14ac:dyDescent="0.2">
      <c r="A64" s="20" t="s">
        <v>65</v>
      </c>
      <c r="B64" s="43" t="s">
        <v>170</v>
      </c>
      <c r="C64" s="21" t="s">
        <v>47</v>
      </c>
      <c r="D64" s="44" t="s">
        <v>182</v>
      </c>
      <c r="E64" s="45">
        <v>8</v>
      </c>
      <c r="F64" s="23">
        <f>IF(Master_Results!$D$64="","",IF(D64=Master_Results!$D$64,1,0))</f>
        <v>0</v>
      </c>
      <c r="G64" s="23">
        <f>IF(F64="","",E64*F64)</f>
        <v>0</v>
      </c>
    </row>
    <row r="65" spans="1:8" ht="15.75" customHeight="1" x14ac:dyDescent="0.2">
      <c r="A65" s="20" t="s">
        <v>65</v>
      </c>
      <c r="B65" s="43" t="s">
        <v>171</v>
      </c>
      <c r="C65" s="21" t="s">
        <v>48</v>
      </c>
      <c r="D65" s="44" t="s">
        <v>110</v>
      </c>
      <c r="E65" s="45">
        <v>8</v>
      </c>
      <c r="F65" s="23">
        <f>IF(Master_Results!$D$65="","",IF(D65=Master_Results!$D$65,1,0))</f>
        <v>1</v>
      </c>
      <c r="G65" s="23">
        <f>IF(F65="","",E65*F65)</f>
        <v>8</v>
      </c>
    </row>
    <row r="66" spans="1:8" ht="15.75" customHeight="1" x14ac:dyDescent="0.2">
      <c r="A66" s="20" t="s">
        <v>65</v>
      </c>
      <c r="B66" s="43" t="s">
        <v>172</v>
      </c>
      <c r="C66" s="21" t="s">
        <v>49</v>
      </c>
      <c r="D66" s="44" t="s">
        <v>126</v>
      </c>
      <c r="E66" s="45">
        <v>8</v>
      </c>
      <c r="F66" s="23">
        <f>IF(Master_Results!$D$66="","",IF(D66=Master_Results!$D$66,1,0))</f>
        <v>1</v>
      </c>
      <c r="G66" s="23">
        <f>IF(F66="","",E66*F66)</f>
        <v>8</v>
      </c>
    </row>
    <row r="67" spans="1:8" ht="19.5" customHeight="1" x14ac:dyDescent="0.2">
      <c r="A67" s="73" t="s">
        <v>173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174</v>
      </c>
      <c r="C68" s="25" t="s">
        <v>46</v>
      </c>
      <c r="D68" s="47" t="s">
        <v>92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175</v>
      </c>
      <c r="C69" s="25" t="s">
        <v>47</v>
      </c>
      <c r="D69" s="47" t="s">
        <v>110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176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177</v>
      </c>
      <c r="C71" s="29" t="s">
        <v>46</v>
      </c>
      <c r="D71" s="50" t="s">
        <v>110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178</v>
      </c>
      <c r="B73" s="69"/>
      <c r="C73" s="69"/>
      <c r="D73" s="69"/>
      <c r="E73" s="71"/>
      <c r="F73" s="52" t="s">
        <v>179</v>
      </c>
      <c r="G73" s="53">
        <f>SUMIF(F3:F71,1,E3:E71)</f>
        <v>89</v>
      </c>
      <c r="H73" s="54">
        <f>SUMIF(F3:F71,"",E3:E71)</f>
        <v>64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12" priority="1">
      <formula>$F3=1</formula>
    </cfRule>
    <cfRule type="expression" dxfId="11" priority="2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3"/>
  <sheetViews>
    <sheetView zoomScaleNormal="100" workbookViewId="0">
      <pane ySplit="2" topLeftCell="A23" activePane="bottomLeft" state="frozen"/>
      <selection pane="bottomLeft" activeCell="C17" sqref="C17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185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80</v>
      </c>
      <c r="E5" s="36">
        <v>1</v>
      </c>
      <c r="F5" s="11">
        <f>IF(Master_Results!$D$5="","",IF(D5=Master_Results!$D$5,1,0))</f>
        <v>1</v>
      </c>
      <c r="G5" s="11">
        <f t="shared" si="0"/>
        <v>1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82</v>
      </c>
      <c r="E6" s="36">
        <v>1</v>
      </c>
      <c r="F6" s="11">
        <f>IF(Master_Results!$D$6="","",IF(D6=Master_Results!$D$6,1,0))</f>
        <v>1</v>
      </c>
      <c r="G6" s="11">
        <f t="shared" si="0"/>
        <v>1</v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>
        <f>IF(Master_Results!$D$7="","",IF(D7=Master_Results!$D$7,1,0))</f>
        <v>1</v>
      </c>
      <c r="G7" s="11">
        <f t="shared" si="0"/>
        <v>1</v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181</v>
      </c>
      <c r="E8" s="36">
        <v>1</v>
      </c>
      <c r="F8" s="11">
        <f>IF(Master_Results!$D$8="","",IF(D8=Master_Results!$D$8,1,0))</f>
        <v>1</v>
      </c>
      <c r="G8" s="11">
        <f t="shared" si="0"/>
        <v>1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>
        <f>IF(Master_Results!$D$9="","",IF(D9=Master_Results!$D$9,1,0))</f>
        <v>1</v>
      </c>
      <c r="G9" s="11">
        <f t="shared" si="0"/>
        <v>1</v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186</v>
      </c>
      <c r="E10" s="36">
        <v>1</v>
      </c>
      <c r="F10" s="11">
        <f>IF(Master_Results!$D$10="","",IF(D10=Master_Results!$D$10,1,0))</f>
        <v>1</v>
      </c>
      <c r="G10" s="11">
        <f t="shared" si="0"/>
        <v>1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187</v>
      </c>
      <c r="E13" s="36">
        <v>1</v>
      </c>
      <c r="F13" s="11">
        <f>IF(Master_Results!$D$13="","",IF(D13=Master_Results!$D$13,1,0))</f>
        <v>0</v>
      </c>
      <c r="G13" s="11">
        <f t="shared" si="0"/>
        <v>0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102</v>
      </c>
      <c r="E16" s="36">
        <v>1</v>
      </c>
      <c r="F16" s="11">
        <f>IF(Master_Results!$D$16="","",IF(D16=Master_Results!$D$16,1,0))</f>
        <v>1</v>
      </c>
      <c r="G16" s="11">
        <f t="shared" si="0"/>
        <v>1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188</v>
      </c>
      <c r="E18" s="36">
        <v>1</v>
      </c>
      <c r="F18" s="11">
        <f>IF(Master_Results!$D$18="","",IF(D18=Master_Results!$D$18,1,0))</f>
        <v>0</v>
      </c>
      <c r="G18" s="11">
        <f t="shared" si="0"/>
        <v>0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128</v>
      </c>
      <c r="E29" s="36">
        <v>1</v>
      </c>
      <c r="F29" s="11">
        <f>IF(Master_Results!$D$29="","",IF(D29=Master_Results!$D$29,1,0))</f>
        <v>0</v>
      </c>
      <c r="G29" s="11">
        <f t="shared" si="0"/>
        <v>0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189</v>
      </c>
      <c r="E30" s="36">
        <v>1</v>
      </c>
      <c r="F30" s="11">
        <f>IF(Master_Results!$D$30="","",IF(D30=Master_Results!$D$30,1,0))</f>
        <v>0</v>
      </c>
      <c r="G30" s="11">
        <f t="shared" si="0"/>
        <v>0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140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141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142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143</v>
      </c>
      <c r="C38" s="13" t="s">
        <v>47</v>
      </c>
      <c r="D38" s="38" t="s">
        <v>84</v>
      </c>
      <c r="E38" s="39">
        <v>2</v>
      </c>
      <c r="F38" s="15">
        <f>IF(Master_Results!$D$38="","",IF(D38=Master_Results!$D$38,1,0))</f>
        <v>0</v>
      </c>
      <c r="G38" s="15">
        <f t="shared" si="1"/>
        <v>0</v>
      </c>
    </row>
    <row r="39" spans="1:8" ht="15.75" customHeight="1" x14ac:dyDescent="0.2">
      <c r="A39" s="12" t="s">
        <v>45</v>
      </c>
      <c r="B39" s="37" t="s">
        <v>144</v>
      </c>
      <c r="C39" s="13" t="s">
        <v>48</v>
      </c>
      <c r="D39" s="38" t="s">
        <v>145</v>
      </c>
      <c r="E39" s="39">
        <v>2</v>
      </c>
      <c r="F39" s="15">
        <f>IF(Master_Results!$D$39="","",IF(D39=Master_Results!$D$39,1,0))</f>
        <v>0</v>
      </c>
      <c r="G39" s="15">
        <f t="shared" si="1"/>
        <v>0</v>
      </c>
    </row>
    <row r="40" spans="1:8" ht="15.75" customHeight="1" x14ac:dyDescent="0.2">
      <c r="A40" s="12" t="s">
        <v>45</v>
      </c>
      <c r="B40" s="37" t="s">
        <v>146</v>
      </c>
      <c r="C40" s="13" t="s">
        <v>49</v>
      </c>
      <c r="D40" s="38" t="s">
        <v>92</v>
      </c>
      <c r="E40" s="39">
        <v>2</v>
      </c>
      <c r="F40" s="15">
        <f>IF(Master_Results!$D$40="","",IF(D40=Master_Results!$D$40,1,0))</f>
        <v>1</v>
      </c>
      <c r="G40" s="15">
        <f t="shared" si="1"/>
        <v>2</v>
      </c>
    </row>
    <row r="41" spans="1:8" ht="15.75" customHeight="1" x14ac:dyDescent="0.2">
      <c r="A41" s="12" t="s">
        <v>45</v>
      </c>
      <c r="B41" s="37" t="s">
        <v>147</v>
      </c>
      <c r="C41" s="13" t="s">
        <v>50</v>
      </c>
      <c r="D41" s="38" t="s">
        <v>94</v>
      </c>
      <c r="E41" s="39">
        <v>2</v>
      </c>
      <c r="F41" s="15">
        <f>IF(Master_Results!$D$41="","",IF(D41=Master_Results!$D$41,1,0))</f>
        <v>0</v>
      </c>
      <c r="G41" s="15">
        <f t="shared" si="1"/>
        <v>0</v>
      </c>
    </row>
    <row r="42" spans="1:8" ht="15.75" customHeight="1" x14ac:dyDescent="0.2">
      <c r="A42" s="12" t="s">
        <v>45</v>
      </c>
      <c r="B42" s="37" t="s">
        <v>148</v>
      </c>
      <c r="C42" s="13" t="s">
        <v>51</v>
      </c>
      <c r="D42" s="38" t="s">
        <v>100</v>
      </c>
      <c r="E42" s="39">
        <v>2</v>
      </c>
      <c r="F42" s="15">
        <f>IF(Master_Results!$D$42="","",IF(D42=Master_Results!$D$42,1,0))</f>
        <v>1</v>
      </c>
      <c r="G42" s="15">
        <f t="shared" si="1"/>
        <v>2</v>
      </c>
    </row>
    <row r="43" spans="1:8" ht="15.75" customHeight="1" x14ac:dyDescent="0.2">
      <c r="A43" s="12" t="s">
        <v>45</v>
      </c>
      <c r="B43" s="37" t="s">
        <v>149</v>
      </c>
      <c r="C43" s="13" t="s">
        <v>52</v>
      </c>
      <c r="D43" s="38" t="s">
        <v>102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150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151</v>
      </c>
      <c r="C45" s="13" t="s">
        <v>54</v>
      </c>
      <c r="D45" s="38" t="s">
        <v>110</v>
      </c>
      <c r="E45" s="39">
        <v>2</v>
      </c>
      <c r="F45" s="15">
        <f>IF(Master_Results!$D$45="","",IF(D45=Master_Results!$D$45,1,0))</f>
        <v>1</v>
      </c>
      <c r="G45" s="15">
        <f t="shared" si="1"/>
        <v>2</v>
      </c>
    </row>
    <row r="46" spans="1:8" ht="15.75" customHeight="1" x14ac:dyDescent="0.2">
      <c r="A46" s="12" t="s">
        <v>45</v>
      </c>
      <c r="B46" s="37" t="s">
        <v>152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153</v>
      </c>
      <c r="C47" s="13" t="s">
        <v>56</v>
      </c>
      <c r="D47" s="38" t="s">
        <v>118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154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155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156</v>
      </c>
      <c r="C50" s="13" t="s">
        <v>59</v>
      </c>
      <c r="D50" s="38" t="s">
        <v>132</v>
      </c>
      <c r="E50" s="39">
        <v>2</v>
      </c>
      <c r="F50" s="15">
        <f>IF(Master_Results!$D$50="","",IF(D50=Master_Results!$D$50,1,0))</f>
        <v>1</v>
      </c>
      <c r="G50" s="15">
        <f t="shared" si="1"/>
        <v>2</v>
      </c>
    </row>
    <row r="51" spans="1:8" ht="15.75" customHeight="1" x14ac:dyDescent="0.2">
      <c r="A51" s="12" t="s">
        <v>45</v>
      </c>
      <c r="B51" s="37" t="s">
        <v>157</v>
      </c>
      <c r="C51" s="13" t="s">
        <v>60</v>
      </c>
      <c r="D51" s="38" t="s">
        <v>134</v>
      </c>
      <c r="E51" s="39">
        <v>2</v>
      </c>
      <c r="F51" s="15">
        <f>IF(Master_Results!$D$51="","",IF(D51=Master_Results!$D$51,1,0))</f>
        <v>1</v>
      </c>
      <c r="G51" s="15">
        <f t="shared" si="1"/>
        <v>2</v>
      </c>
    </row>
    <row r="52" spans="1:8" ht="15.75" customHeight="1" x14ac:dyDescent="0.2">
      <c r="A52" s="12" t="s">
        <v>45</v>
      </c>
      <c r="B52" s="37" t="s">
        <v>158</v>
      </c>
      <c r="C52" s="13" t="s">
        <v>61</v>
      </c>
      <c r="D52" s="38" t="s">
        <v>138</v>
      </c>
      <c r="E52" s="39">
        <v>2</v>
      </c>
      <c r="F52" s="15">
        <f>IF(Master_Results!$D$52="","",IF(D52=Master_Results!$D$52,1,0))</f>
        <v>0</v>
      </c>
      <c r="G52" s="15">
        <f t="shared" si="1"/>
        <v>0</v>
      </c>
    </row>
    <row r="53" spans="1:8" ht="19.5" customHeight="1" x14ac:dyDescent="0.2">
      <c r="A53" s="75" t="s">
        <v>159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160</v>
      </c>
      <c r="C54" s="17" t="s">
        <v>46</v>
      </c>
      <c r="D54" s="41" t="s">
        <v>78</v>
      </c>
      <c r="E54" s="42">
        <v>4</v>
      </c>
      <c r="F54" s="19">
        <f>IF(Master_Results!$D$54="","",IF(D54=Master_Results!$D$54,1,0))</f>
        <v>1</v>
      </c>
      <c r="G54" s="19">
        <f t="shared" ref="G54:G61" si="2">IF(F54="","",E54*F54)</f>
        <v>4</v>
      </c>
    </row>
    <row r="55" spans="1:8" ht="15.75" customHeight="1" x14ac:dyDescent="0.2">
      <c r="A55" s="16" t="s">
        <v>63</v>
      </c>
      <c r="B55" s="40" t="s">
        <v>161</v>
      </c>
      <c r="C55" s="17" t="s">
        <v>47</v>
      </c>
      <c r="D55" s="41" t="s">
        <v>145</v>
      </c>
      <c r="E55" s="42">
        <v>4</v>
      </c>
      <c r="F55" s="19">
        <f>IF(Master_Results!$D$55="","",IF(D55=Master_Results!$D$55,1,0))</f>
        <v>0</v>
      </c>
      <c r="G55" s="19">
        <f t="shared" si="2"/>
        <v>0</v>
      </c>
    </row>
    <row r="56" spans="1:8" ht="15.75" customHeight="1" x14ac:dyDescent="0.2">
      <c r="A56" s="16" t="s">
        <v>63</v>
      </c>
      <c r="B56" s="40" t="s">
        <v>162</v>
      </c>
      <c r="C56" s="17" t="s">
        <v>48</v>
      </c>
      <c r="D56" s="41" t="s">
        <v>94</v>
      </c>
      <c r="E56" s="42">
        <v>4</v>
      </c>
      <c r="F56" s="19">
        <f>IF(Master_Results!$D$56="","",IF(D56=Master_Results!$D$56,1,0))</f>
        <v>0</v>
      </c>
      <c r="G56" s="19">
        <f t="shared" si="2"/>
        <v>0</v>
      </c>
    </row>
    <row r="57" spans="1:8" ht="15.75" customHeight="1" x14ac:dyDescent="0.2">
      <c r="A57" s="16" t="s">
        <v>63</v>
      </c>
      <c r="B57" s="40" t="s">
        <v>163</v>
      </c>
      <c r="C57" s="17" t="s">
        <v>49</v>
      </c>
      <c r="D57" s="41" t="s">
        <v>108</v>
      </c>
      <c r="E57" s="42">
        <v>4</v>
      </c>
      <c r="F57" s="19">
        <f>IF(Master_Results!$D$57="","",IF(D57=Master_Results!$D$57,1,0))</f>
        <v>0</v>
      </c>
      <c r="G57" s="19">
        <f t="shared" si="2"/>
        <v>0</v>
      </c>
    </row>
    <row r="58" spans="1:8" ht="15.75" customHeight="1" x14ac:dyDescent="0.2">
      <c r="A58" s="16" t="s">
        <v>63</v>
      </c>
      <c r="B58" s="40" t="s">
        <v>164</v>
      </c>
      <c r="C58" s="17" t="s">
        <v>50</v>
      </c>
      <c r="D58" s="41" t="s">
        <v>110</v>
      </c>
      <c r="E58" s="42">
        <v>4</v>
      </c>
      <c r="F58" s="19">
        <f>IF(Master_Results!$D$58="","",IF(D58=Master_Results!$D$58,1,0))</f>
        <v>1</v>
      </c>
      <c r="G58" s="19">
        <f t="shared" si="2"/>
        <v>4</v>
      </c>
    </row>
    <row r="59" spans="1:8" ht="15.75" customHeight="1" x14ac:dyDescent="0.2">
      <c r="A59" s="16" t="s">
        <v>63</v>
      </c>
      <c r="B59" s="40" t="s">
        <v>165</v>
      </c>
      <c r="C59" s="17" t="s">
        <v>51</v>
      </c>
      <c r="D59" s="41" t="s">
        <v>124</v>
      </c>
      <c r="E59" s="42">
        <v>4</v>
      </c>
      <c r="F59" s="19">
        <f>IF(Master_Results!$D$59="","",IF(D59=Master_Results!$D$59,1,0))</f>
        <v>1</v>
      </c>
      <c r="G59" s="19">
        <f t="shared" si="2"/>
        <v>4</v>
      </c>
    </row>
    <row r="60" spans="1:8" ht="15.75" customHeight="1" x14ac:dyDescent="0.2">
      <c r="A60" s="16" t="s">
        <v>63</v>
      </c>
      <c r="B60" s="40" t="s">
        <v>166</v>
      </c>
      <c r="C60" s="17" t="s">
        <v>52</v>
      </c>
      <c r="D60" s="41" t="s">
        <v>126</v>
      </c>
      <c r="E60" s="42">
        <v>4</v>
      </c>
      <c r="F60" s="19">
        <f>IF(Master_Results!$D$60="","",IF(D60=Master_Results!$D$60,1,0))</f>
        <v>1</v>
      </c>
      <c r="G60" s="19">
        <f t="shared" si="2"/>
        <v>4</v>
      </c>
    </row>
    <row r="61" spans="1:8" ht="15.75" customHeight="1" x14ac:dyDescent="0.2">
      <c r="A61" s="16" t="s">
        <v>63</v>
      </c>
      <c r="B61" s="40" t="s">
        <v>167</v>
      </c>
      <c r="C61" s="17" t="s">
        <v>53</v>
      </c>
      <c r="D61" s="41" t="s">
        <v>132</v>
      </c>
      <c r="E61" s="42">
        <v>4</v>
      </c>
      <c r="F61" s="19">
        <f>IF(Master_Results!$D$61="","",IF(D61=Master_Results!$D$61,1,0))</f>
        <v>0</v>
      </c>
      <c r="G61" s="19">
        <f t="shared" si="2"/>
        <v>0</v>
      </c>
    </row>
    <row r="62" spans="1:8" ht="19.5" customHeight="1" x14ac:dyDescent="0.2">
      <c r="A62" s="76" t="s">
        <v>168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169</v>
      </c>
      <c r="C63" s="21" t="s">
        <v>46</v>
      </c>
      <c r="D63" s="44" t="s">
        <v>78</v>
      </c>
      <c r="E63" s="45">
        <v>8</v>
      </c>
      <c r="F63" s="23">
        <f>IF(Master_Results!$D$63="","",IF(D63=Master_Results!$D$63,1,0))</f>
        <v>0</v>
      </c>
      <c r="G63" s="23">
        <f>IF(F63="","",E63*F63)</f>
        <v>0</v>
      </c>
    </row>
    <row r="64" spans="1:8" ht="15.75" customHeight="1" x14ac:dyDescent="0.2">
      <c r="A64" s="20" t="s">
        <v>65</v>
      </c>
      <c r="B64" s="43" t="s">
        <v>170</v>
      </c>
      <c r="C64" s="21" t="s">
        <v>47</v>
      </c>
      <c r="D64" s="44" t="s">
        <v>108</v>
      </c>
      <c r="E64" s="45">
        <v>8</v>
      </c>
      <c r="F64" s="23">
        <f>IF(Master_Results!$D$64="","",IF(D64=Master_Results!$D$64,1,0))</f>
        <v>0</v>
      </c>
      <c r="G64" s="23">
        <f>IF(F64="","",E64*F64)</f>
        <v>0</v>
      </c>
    </row>
    <row r="65" spans="1:8" ht="15.75" customHeight="1" x14ac:dyDescent="0.2">
      <c r="A65" s="20" t="s">
        <v>65</v>
      </c>
      <c r="B65" s="43" t="s">
        <v>171</v>
      </c>
      <c r="C65" s="21" t="s">
        <v>48</v>
      </c>
      <c r="D65" s="44" t="s">
        <v>110</v>
      </c>
      <c r="E65" s="45">
        <v>8</v>
      </c>
      <c r="F65" s="23">
        <f>IF(Master_Results!$D$65="","",IF(D65=Master_Results!$D$65,1,0))</f>
        <v>1</v>
      </c>
      <c r="G65" s="23">
        <f>IF(F65="","",E65*F65)</f>
        <v>8</v>
      </c>
    </row>
    <row r="66" spans="1:8" ht="15.75" customHeight="1" x14ac:dyDescent="0.2">
      <c r="A66" s="20" t="s">
        <v>65</v>
      </c>
      <c r="B66" s="43" t="s">
        <v>172</v>
      </c>
      <c r="C66" s="21" t="s">
        <v>49</v>
      </c>
      <c r="D66" s="44" t="s">
        <v>132</v>
      </c>
      <c r="E66" s="45">
        <v>8</v>
      </c>
      <c r="F66" s="23">
        <f>IF(Master_Results!$D$66="","",IF(D66=Master_Results!$D$66,1,0))</f>
        <v>0</v>
      </c>
      <c r="G66" s="23">
        <f>IF(F66="","",E66*F66)</f>
        <v>0</v>
      </c>
    </row>
    <row r="67" spans="1:8" ht="19.5" customHeight="1" x14ac:dyDescent="0.2">
      <c r="A67" s="73" t="s">
        <v>173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174</v>
      </c>
      <c r="C68" s="25" t="s">
        <v>46</v>
      </c>
      <c r="D68" s="47" t="s">
        <v>78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175</v>
      </c>
      <c r="C69" s="25" t="s">
        <v>47</v>
      </c>
      <c r="D69" s="47" t="s">
        <v>132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176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177</v>
      </c>
      <c r="C71" s="29" t="s">
        <v>46</v>
      </c>
      <c r="D71" s="50" t="s">
        <v>78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178</v>
      </c>
      <c r="B73" s="69"/>
      <c r="C73" s="69"/>
      <c r="D73" s="69"/>
      <c r="E73" s="71"/>
      <c r="F73" s="52" t="s">
        <v>179</v>
      </c>
      <c r="G73" s="53">
        <f>SUMIF(F3:F71,1,E3:E71)</f>
        <v>69</v>
      </c>
      <c r="H73" s="54">
        <f>SUMIF(F3:F71,"",E3:E71)</f>
        <v>64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10" priority="2">
      <formula>$F3=1</formula>
    </cfRule>
    <cfRule type="expression" dxfId="9" priority="3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73"/>
  <sheetViews>
    <sheetView zoomScaleNormal="100" workbookViewId="0">
      <pane ySplit="2" topLeftCell="A24" activePane="bottomLeft" state="frozen"/>
      <selection pane="bottomLeft" activeCell="F5" sqref="F5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190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191</v>
      </c>
      <c r="E5" s="36">
        <v>1</v>
      </c>
      <c r="F5" s="11">
        <f>IF(Master_Results!$D$5="","",IF(D5=Master_Results!$D$5,1,0))</f>
        <v>0</v>
      </c>
      <c r="G5" s="11">
        <f t="shared" si="0"/>
        <v>0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82</v>
      </c>
      <c r="E6" s="36">
        <v>1</v>
      </c>
      <c r="F6" s="11">
        <f>IF(Master_Results!$D$6="","",IF(D6=Master_Results!$D$6,1,0))</f>
        <v>1</v>
      </c>
      <c r="G6" s="11">
        <f t="shared" si="0"/>
        <v>1</v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>
        <f>IF(Master_Results!$D$7="","",IF(D7=Master_Results!$D$7,1,0))</f>
        <v>1</v>
      </c>
      <c r="G7" s="11">
        <f t="shared" si="0"/>
        <v>1</v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181</v>
      </c>
      <c r="E8" s="36">
        <v>1</v>
      </c>
      <c r="F8" s="11">
        <f>IF(Master_Results!$D$8="","",IF(D8=Master_Results!$D$8,1,0))</f>
        <v>1</v>
      </c>
      <c r="G8" s="11">
        <f t="shared" si="0"/>
        <v>1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>
        <f>IF(Master_Results!$D$9="","",IF(D9=Master_Results!$D$9,1,0))</f>
        <v>1</v>
      </c>
      <c r="G9" s="11">
        <f t="shared" si="0"/>
        <v>1</v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90</v>
      </c>
      <c r="E10" s="36">
        <v>1</v>
      </c>
      <c r="F10" s="11">
        <f>IF(Master_Results!$D$10="","",IF(D10=Master_Results!$D$10,1,0))</f>
        <v>0</v>
      </c>
      <c r="G10" s="11">
        <f t="shared" si="0"/>
        <v>0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96</v>
      </c>
      <c r="E13" s="36">
        <v>1</v>
      </c>
      <c r="F13" s="11">
        <f>IF(Master_Results!$D$13="","",IF(D13=Master_Results!$D$13,1,0))</f>
        <v>1</v>
      </c>
      <c r="G13" s="11">
        <f t="shared" si="0"/>
        <v>1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182</v>
      </c>
      <c r="E16" s="36">
        <v>1</v>
      </c>
      <c r="F16" s="11">
        <f>IF(Master_Results!$D$16="","",IF(D16=Master_Results!$D$16,1,0))</f>
        <v>0</v>
      </c>
      <c r="G16" s="11">
        <f t="shared" si="0"/>
        <v>0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188</v>
      </c>
      <c r="E18" s="36">
        <v>1</v>
      </c>
      <c r="F18" s="11">
        <f>IF(Master_Results!$D$18="","",IF(D18=Master_Results!$D$18,1,0))</f>
        <v>0</v>
      </c>
      <c r="G18" s="11">
        <f t="shared" si="0"/>
        <v>0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192</v>
      </c>
      <c r="E29" s="36">
        <v>1</v>
      </c>
      <c r="F29" s="11">
        <f>IF(Master_Results!$D$29="","",IF(D29=Master_Results!$D$29,1,0))</f>
        <v>1</v>
      </c>
      <c r="G29" s="11">
        <f t="shared" si="0"/>
        <v>1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140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141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142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143</v>
      </c>
      <c r="C38" s="13" t="s">
        <v>47</v>
      </c>
      <c r="D38" s="38" t="s">
        <v>84</v>
      </c>
      <c r="E38" s="39">
        <v>2</v>
      </c>
      <c r="F38" s="15">
        <f>IF(Master_Results!$D$38="","",IF(D38=Master_Results!$D$38,1,0))</f>
        <v>0</v>
      </c>
      <c r="G38" s="15">
        <f t="shared" si="1"/>
        <v>0</v>
      </c>
    </row>
    <row r="39" spans="1:8" ht="15.75" customHeight="1" x14ac:dyDescent="0.2">
      <c r="A39" s="12" t="s">
        <v>45</v>
      </c>
      <c r="B39" s="37" t="s">
        <v>144</v>
      </c>
      <c r="C39" s="13" t="s">
        <v>48</v>
      </c>
      <c r="D39" s="38" t="s">
        <v>145</v>
      </c>
      <c r="E39" s="39">
        <v>2</v>
      </c>
      <c r="F39" s="15">
        <f>IF(Master_Results!$D$39="","",IF(D39=Master_Results!$D$39,1,0))</f>
        <v>0</v>
      </c>
      <c r="G39" s="15">
        <f t="shared" si="1"/>
        <v>0</v>
      </c>
    </row>
    <row r="40" spans="1:8" ht="15.75" customHeight="1" x14ac:dyDescent="0.2">
      <c r="A40" s="12" t="s">
        <v>45</v>
      </c>
      <c r="B40" s="37" t="s">
        <v>146</v>
      </c>
      <c r="C40" s="13" t="s">
        <v>49</v>
      </c>
      <c r="D40" s="38" t="s">
        <v>92</v>
      </c>
      <c r="E40" s="39">
        <v>2</v>
      </c>
      <c r="F40" s="15">
        <f>IF(Master_Results!$D$40="","",IF(D40=Master_Results!$D$40,1,0))</f>
        <v>1</v>
      </c>
      <c r="G40" s="15">
        <f t="shared" si="1"/>
        <v>2</v>
      </c>
    </row>
    <row r="41" spans="1:8" ht="15.75" customHeight="1" x14ac:dyDescent="0.2">
      <c r="A41" s="12" t="s">
        <v>45</v>
      </c>
      <c r="B41" s="37" t="s">
        <v>147</v>
      </c>
      <c r="C41" s="13" t="s">
        <v>50</v>
      </c>
      <c r="D41" s="38" t="s">
        <v>94</v>
      </c>
      <c r="E41" s="39">
        <v>2</v>
      </c>
      <c r="F41" s="15">
        <f>IF(Master_Results!$D$41="","",IF(D41=Master_Results!$D$41,1,0))</f>
        <v>0</v>
      </c>
      <c r="G41" s="15">
        <f t="shared" si="1"/>
        <v>0</v>
      </c>
    </row>
    <row r="42" spans="1:8" ht="15.75" customHeight="1" x14ac:dyDescent="0.2">
      <c r="A42" s="12" t="s">
        <v>45</v>
      </c>
      <c r="B42" s="37" t="s">
        <v>148</v>
      </c>
      <c r="C42" s="13" t="s">
        <v>51</v>
      </c>
      <c r="D42" s="38" t="s">
        <v>98</v>
      </c>
      <c r="E42" s="39">
        <v>2</v>
      </c>
      <c r="F42" s="15">
        <f>IF(Master_Results!$D$42="","",IF(D42=Master_Results!$D$42,1,0))</f>
        <v>0</v>
      </c>
      <c r="G42" s="15">
        <f t="shared" si="1"/>
        <v>0</v>
      </c>
    </row>
    <row r="43" spans="1:8" ht="15.75" customHeight="1" x14ac:dyDescent="0.2">
      <c r="A43" s="12" t="s">
        <v>45</v>
      </c>
      <c r="B43" s="37" t="s">
        <v>149</v>
      </c>
      <c r="C43" s="13" t="s">
        <v>52</v>
      </c>
      <c r="D43" s="38" t="s">
        <v>100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150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151</v>
      </c>
      <c r="C45" s="13" t="s">
        <v>54</v>
      </c>
      <c r="D45" s="38" t="s">
        <v>110</v>
      </c>
      <c r="E45" s="39">
        <v>2</v>
      </c>
      <c r="F45" s="15">
        <f>IF(Master_Results!$D$45="","",IF(D45=Master_Results!$D$45,1,0))</f>
        <v>1</v>
      </c>
      <c r="G45" s="15">
        <f t="shared" si="1"/>
        <v>2</v>
      </c>
    </row>
    <row r="46" spans="1:8" ht="15.75" customHeight="1" x14ac:dyDescent="0.2">
      <c r="A46" s="12" t="s">
        <v>45</v>
      </c>
      <c r="B46" s="37" t="s">
        <v>152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153</v>
      </c>
      <c r="C47" s="13" t="s">
        <v>56</v>
      </c>
      <c r="D47" s="38" t="s">
        <v>120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154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155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156</v>
      </c>
      <c r="C50" s="13" t="s">
        <v>59</v>
      </c>
      <c r="D50" s="38" t="s">
        <v>132</v>
      </c>
      <c r="E50" s="39">
        <v>2</v>
      </c>
      <c r="F50" s="15">
        <f>IF(Master_Results!$D$50="","",IF(D50=Master_Results!$D$50,1,0))</f>
        <v>1</v>
      </c>
      <c r="G50" s="15">
        <f t="shared" si="1"/>
        <v>2</v>
      </c>
    </row>
    <row r="51" spans="1:8" ht="15.75" customHeight="1" x14ac:dyDescent="0.2">
      <c r="A51" s="12" t="s">
        <v>45</v>
      </c>
      <c r="B51" s="37" t="s">
        <v>157</v>
      </c>
      <c r="C51" s="13" t="s">
        <v>60</v>
      </c>
      <c r="D51" s="38" t="s">
        <v>134</v>
      </c>
      <c r="E51" s="39">
        <v>2</v>
      </c>
      <c r="F51" s="15">
        <f>IF(Master_Results!$D$51="","",IF(D51=Master_Results!$D$51,1,0))</f>
        <v>1</v>
      </c>
      <c r="G51" s="15">
        <f t="shared" si="1"/>
        <v>2</v>
      </c>
    </row>
    <row r="52" spans="1:8" ht="15.75" customHeight="1" x14ac:dyDescent="0.2">
      <c r="A52" s="12" t="s">
        <v>45</v>
      </c>
      <c r="B52" s="37" t="s">
        <v>158</v>
      </c>
      <c r="C52" s="13" t="s">
        <v>61</v>
      </c>
      <c r="D52" s="38" t="s">
        <v>140</v>
      </c>
      <c r="E52" s="39">
        <v>2</v>
      </c>
      <c r="F52" s="15">
        <f>IF(Master_Results!$D$52="","",IF(D52=Master_Results!$D$52,1,0))</f>
        <v>1</v>
      </c>
      <c r="G52" s="15">
        <f t="shared" si="1"/>
        <v>2</v>
      </c>
    </row>
    <row r="53" spans="1:8" ht="19.5" customHeight="1" x14ac:dyDescent="0.2">
      <c r="A53" s="75" t="s">
        <v>159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160</v>
      </c>
      <c r="C54" s="17" t="s">
        <v>46</v>
      </c>
      <c r="D54" s="41" t="s">
        <v>78</v>
      </c>
      <c r="E54" s="42">
        <v>4</v>
      </c>
      <c r="F54" s="19">
        <f>IF(Master_Results!$D$54="","",IF(D54=Master_Results!$D$54,1,0))</f>
        <v>1</v>
      </c>
      <c r="G54" s="19">
        <f t="shared" ref="G54:G61" si="2">IF(F54="","",E54*F54)</f>
        <v>4</v>
      </c>
    </row>
    <row r="55" spans="1:8" ht="15.75" customHeight="1" x14ac:dyDescent="0.2">
      <c r="A55" s="16" t="s">
        <v>63</v>
      </c>
      <c r="B55" s="40" t="s">
        <v>161</v>
      </c>
      <c r="C55" s="17" t="s">
        <v>47</v>
      </c>
      <c r="D55" s="41" t="s">
        <v>92</v>
      </c>
      <c r="E55" s="42">
        <v>4</v>
      </c>
      <c r="F55" s="19">
        <f>IF(Master_Results!$D$55="","",IF(D55=Master_Results!$D$55,1,0))</f>
        <v>1</v>
      </c>
      <c r="G55" s="19">
        <f t="shared" si="2"/>
        <v>4</v>
      </c>
    </row>
    <row r="56" spans="1:8" ht="15.75" customHeight="1" x14ac:dyDescent="0.2">
      <c r="A56" s="16" t="s">
        <v>63</v>
      </c>
      <c r="B56" s="40" t="s">
        <v>162</v>
      </c>
      <c r="C56" s="17" t="s">
        <v>48</v>
      </c>
      <c r="D56" s="41" t="s">
        <v>94</v>
      </c>
      <c r="E56" s="42">
        <v>4</v>
      </c>
      <c r="F56" s="19">
        <f>IF(Master_Results!$D$56="","",IF(D56=Master_Results!$D$56,1,0))</f>
        <v>0</v>
      </c>
      <c r="G56" s="19">
        <f t="shared" si="2"/>
        <v>0</v>
      </c>
    </row>
    <row r="57" spans="1:8" ht="15.75" customHeight="1" x14ac:dyDescent="0.2">
      <c r="A57" s="16" t="s">
        <v>63</v>
      </c>
      <c r="B57" s="40" t="s">
        <v>163</v>
      </c>
      <c r="C57" s="17" t="s">
        <v>49</v>
      </c>
      <c r="D57" s="41" t="s">
        <v>108</v>
      </c>
      <c r="E57" s="42">
        <v>4</v>
      </c>
      <c r="F57" s="19">
        <f>IF(Master_Results!$D$57="","",IF(D57=Master_Results!$D$57,1,0))</f>
        <v>0</v>
      </c>
      <c r="G57" s="19">
        <f t="shared" si="2"/>
        <v>0</v>
      </c>
    </row>
    <row r="58" spans="1:8" ht="15.75" customHeight="1" x14ac:dyDescent="0.2">
      <c r="A58" s="16" t="s">
        <v>63</v>
      </c>
      <c r="B58" s="40" t="s">
        <v>164</v>
      </c>
      <c r="C58" s="17" t="s">
        <v>50</v>
      </c>
      <c r="D58" s="41" t="s">
        <v>110</v>
      </c>
      <c r="E58" s="42">
        <v>4</v>
      </c>
      <c r="F58" s="19">
        <f>IF(Master_Results!$D$58="","",IF(D58=Master_Results!$D$58,1,0))</f>
        <v>1</v>
      </c>
      <c r="G58" s="19">
        <f t="shared" si="2"/>
        <v>4</v>
      </c>
    </row>
    <row r="59" spans="1:8" ht="15.75" customHeight="1" x14ac:dyDescent="0.2">
      <c r="A59" s="16" t="s">
        <v>63</v>
      </c>
      <c r="B59" s="40" t="s">
        <v>165</v>
      </c>
      <c r="C59" s="17" t="s">
        <v>51</v>
      </c>
      <c r="D59" s="41" t="s">
        <v>120</v>
      </c>
      <c r="E59" s="42">
        <v>4</v>
      </c>
      <c r="F59" s="19">
        <f>IF(Master_Results!$D$59="","",IF(D59=Master_Results!$D$59,1,0))</f>
        <v>0</v>
      </c>
      <c r="G59" s="19">
        <f t="shared" si="2"/>
        <v>0</v>
      </c>
    </row>
    <row r="60" spans="1:8" ht="15.75" customHeight="1" x14ac:dyDescent="0.2">
      <c r="A60" s="16" t="s">
        <v>63</v>
      </c>
      <c r="B60" s="40" t="s">
        <v>166</v>
      </c>
      <c r="C60" s="17" t="s">
        <v>52</v>
      </c>
      <c r="D60" s="41" t="s">
        <v>126</v>
      </c>
      <c r="E60" s="42">
        <v>4</v>
      </c>
      <c r="F60" s="19">
        <f>IF(Master_Results!$D$60="","",IF(D60=Master_Results!$D$60,1,0))</f>
        <v>1</v>
      </c>
      <c r="G60" s="19">
        <f t="shared" si="2"/>
        <v>4</v>
      </c>
    </row>
    <row r="61" spans="1:8" ht="15.75" customHeight="1" x14ac:dyDescent="0.2">
      <c r="A61" s="16" t="s">
        <v>63</v>
      </c>
      <c r="B61" s="40" t="s">
        <v>167</v>
      </c>
      <c r="C61" s="17" t="s">
        <v>53</v>
      </c>
      <c r="D61" s="41" t="s">
        <v>132</v>
      </c>
      <c r="E61" s="42">
        <v>4</v>
      </c>
      <c r="F61" s="19">
        <f>IF(Master_Results!$D$61="","",IF(D61=Master_Results!$D$61,1,0))</f>
        <v>0</v>
      </c>
      <c r="G61" s="19">
        <f t="shared" si="2"/>
        <v>0</v>
      </c>
    </row>
    <row r="62" spans="1:8" ht="19.5" customHeight="1" x14ac:dyDescent="0.2">
      <c r="A62" s="76" t="s">
        <v>168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169</v>
      </c>
      <c r="C63" s="21" t="s">
        <v>46</v>
      </c>
      <c r="D63" s="44" t="s">
        <v>78</v>
      </c>
      <c r="E63" s="45">
        <v>8</v>
      </c>
      <c r="F63" s="23">
        <f>IF(Master_Results!$D$63="","",IF(D63=Master_Results!$D$63,1,0))</f>
        <v>0</v>
      </c>
      <c r="G63" s="23">
        <f>IF(F63="","",E63*F63)</f>
        <v>0</v>
      </c>
    </row>
    <row r="64" spans="1:8" ht="15.75" customHeight="1" x14ac:dyDescent="0.2">
      <c r="A64" s="20" t="s">
        <v>65</v>
      </c>
      <c r="B64" s="43" t="s">
        <v>170</v>
      </c>
      <c r="C64" s="21" t="s">
        <v>47</v>
      </c>
      <c r="D64" s="44" t="s">
        <v>108</v>
      </c>
      <c r="E64" s="45">
        <v>8</v>
      </c>
      <c r="F64" s="23">
        <f>IF(Master_Results!$D$64="","",IF(D64=Master_Results!$D$64,1,0))</f>
        <v>0</v>
      </c>
      <c r="G64" s="23">
        <f>IF(F64="","",E64*F64)</f>
        <v>0</v>
      </c>
    </row>
    <row r="65" spans="1:8" ht="15.75" customHeight="1" x14ac:dyDescent="0.2">
      <c r="A65" s="20" t="s">
        <v>65</v>
      </c>
      <c r="B65" s="43" t="s">
        <v>171</v>
      </c>
      <c r="C65" s="21" t="s">
        <v>48</v>
      </c>
      <c r="D65" s="44" t="s">
        <v>110</v>
      </c>
      <c r="E65" s="45">
        <v>8</v>
      </c>
      <c r="F65" s="23">
        <f>IF(Master_Results!$D$65="","",IF(D65=Master_Results!$D$65,1,0))</f>
        <v>1</v>
      </c>
      <c r="G65" s="23">
        <f>IF(F65="","",E65*F65)</f>
        <v>8</v>
      </c>
    </row>
    <row r="66" spans="1:8" ht="15.75" customHeight="1" x14ac:dyDescent="0.2">
      <c r="A66" s="20" t="s">
        <v>65</v>
      </c>
      <c r="B66" s="43" t="s">
        <v>172</v>
      </c>
      <c r="C66" s="21" t="s">
        <v>49</v>
      </c>
      <c r="D66" s="44" t="s">
        <v>126</v>
      </c>
      <c r="E66" s="45">
        <v>8</v>
      </c>
      <c r="F66" s="23">
        <f>IF(Master_Results!$D$66="","",IF(D66=Master_Results!$D$66,1,0))</f>
        <v>1</v>
      </c>
      <c r="G66" s="23">
        <f>IF(F66="","",E66*F66)</f>
        <v>8</v>
      </c>
    </row>
    <row r="67" spans="1:8" ht="19.5" customHeight="1" x14ac:dyDescent="0.2">
      <c r="A67" s="73" t="s">
        <v>173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174</v>
      </c>
      <c r="C68" s="25" t="s">
        <v>46</v>
      </c>
      <c r="D68" s="47" t="s">
        <v>78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175</v>
      </c>
      <c r="C69" s="25" t="s">
        <v>47</v>
      </c>
      <c r="D69" s="47" t="s">
        <v>110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176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177</v>
      </c>
      <c r="C71" s="29" t="s">
        <v>46</v>
      </c>
      <c r="D71" s="50" t="s">
        <v>78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178</v>
      </c>
      <c r="B73" s="69"/>
      <c r="C73" s="69"/>
      <c r="D73" s="69"/>
      <c r="E73" s="71"/>
      <c r="F73" s="52" t="s">
        <v>179</v>
      </c>
      <c r="G73" s="53">
        <f>SUMIF(F3:F71,1,E3:E71)</f>
        <v>77</v>
      </c>
      <c r="H73" s="54">
        <f>SUMIF(F3:F71,"",E3:E71)</f>
        <v>64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8" priority="1">
      <formula>$F3=1</formula>
    </cfRule>
    <cfRule type="expression" dxfId="7" priority="2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3"/>
  <sheetViews>
    <sheetView zoomScaleNormal="100" workbookViewId="0">
      <pane ySplit="2" topLeftCell="A25" activePane="bottomLeft" state="frozen"/>
      <selection pane="bottomLeft" activeCell="D9" sqref="D9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193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191</v>
      </c>
      <c r="E5" s="36">
        <v>1</v>
      </c>
      <c r="F5" s="11">
        <f>IF(Master_Results!$D$5="","",IF(D5=Master_Results!$D$5,1,0))</f>
        <v>0</v>
      </c>
      <c r="G5" s="11">
        <f t="shared" si="0"/>
        <v>0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194</v>
      </c>
      <c r="E6" s="36">
        <v>1</v>
      </c>
      <c r="F6" s="11">
        <f>IF(Master_Results!$D$6="","",IF(D6=Master_Results!$D$6,1,0))</f>
        <v>0</v>
      </c>
      <c r="G6" s="11">
        <f t="shared" si="0"/>
        <v>0</v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>
        <f>IF(Master_Results!$D$7="","",IF(D7=Master_Results!$D$7,1,0))</f>
        <v>1</v>
      </c>
      <c r="G7" s="11">
        <f t="shared" si="0"/>
        <v>1</v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86</v>
      </c>
      <c r="E8" s="36">
        <v>1</v>
      </c>
      <c r="F8" s="11">
        <f>IF(Master_Results!$D$8="","",IF(D8=Master_Results!$D$8,1,0))</f>
        <v>0</v>
      </c>
      <c r="G8" s="11">
        <f t="shared" si="0"/>
        <v>0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>
        <f>IF(Master_Results!$D$9="","",IF(D9=Master_Results!$D$9,1,0))</f>
        <v>1</v>
      </c>
      <c r="G9" s="11">
        <f t="shared" si="0"/>
        <v>1</v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186</v>
      </c>
      <c r="E10" s="36">
        <v>1</v>
      </c>
      <c r="F10" s="11">
        <f>IF(Master_Results!$D$10="","",IF(D10=Master_Results!$D$10,1,0))</f>
        <v>1</v>
      </c>
      <c r="G10" s="11">
        <f t="shared" si="0"/>
        <v>1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187</v>
      </c>
      <c r="E13" s="36">
        <v>1</v>
      </c>
      <c r="F13" s="11">
        <f>IF(Master_Results!$D$13="","",IF(D13=Master_Results!$D$13,1,0))</f>
        <v>0</v>
      </c>
      <c r="G13" s="11">
        <f t="shared" si="0"/>
        <v>0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182</v>
      </c>
      <c r="E16" s="36">
        <v>1</v>
      </c>
      <c r="F16" s="11">
        <f>IF(Master_Results!$D$16="","",IF(D16=Master_Results!$D$16,1,0))</f>
        <v>0</v>
      </c>
      <c r="G16" s="11">
        <f t="shared" si="0"/>
        <v>0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188</v>
      </c>
      <c r="E18" s="36">
        <v>1</v>
      </c>
      <c r="F18" s="11">
        <f>IF(Master_Results!$D$18="","",IF(D18=Master_Results!$D$18,1,0))</f>
        <v>0</v>
      </c>
      <c r="G18" s="11">
        <f t="shared" si="0"/>
        <v>0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195</v>
      </c>
      <c r="E22" s="36">
        <v>1</v>
      </c>
      <c r="F22" s="11">
        <f>IF(Master_Results!$D$22="","",IF(D22=Master_Results!$D$22,1,0))</f>
        <v>1</v>
      </c>
      <c r="G22" s="11">
        <f t="shared" si="0"/>
        <v>1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128</v>
      </c>
      <c r="E29" s="36">
        <v>1</v>
      </c>
      <c r="F29" s="11">
        <f>IF(Master_Results!$D$29="","",IF(D29=Master_Results!$D$29,1,0))</f>
        <v>0</v>
      </c>
      <c r="G29" s="11">
        <f t="shared" si="0"/>
        <v>0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196</v>
      </c>
      <c r="E34" s="36">
        <v>1</v>
      </c>
      <c r="F34" s="11">
        <f>IF(Master_Results!$D$34="","",IF(D34=Master_Results!$D$34,1,0))</f>
        <v>0</v>
      </c>
      <c r="G34" s="11">
        <f t="shared" si="0"/>
        <v>0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140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141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142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143</v>
      </c>
      <c r="C38" s="13" t="s">
        <v>47</v>
      </c>
      <c r="D38" s="38" t="s">
        <v>84</v>
      </c>
      <c r="E38" s="39">
        <v>2</v>
      </c>
      <c r="F38" s="15">
        <f>IF(Master_Results!$D$38="","",IF(D38=Master_Results!$D$38,1,0))</f>
        <v>0</v>
      </c>
      <c r="G38" s="15">
        <f t="shared" si="1"/>
        <v>0</v>
      </c>
    </row>
    <row r="39" spans="1:8" ht="15.75" customHeight="1" x14ac:dyDescent="0.2">
      <c r="A39" s="12" t="s">
        <v>45</v>
      </c>
      <c r="B39" s="37" t="s">
        <v>144</v>
      </c>
      <c r="C39" s="13" t="s">
        <v>48</v>
      </c>
      <c r="D39" s="38" t="s">
        <v>145</v>
      </c>
      <c r="E39" s="39">
        <v>2</v>
      </c>
      <c r="F39" s="15">
        <f>IF(Master_Results!$D$39="","",IF(D39=Master_Results!$D$39,1,0))</f>
        <v>0</v>
      </c>
      <c r="G39" s="15">
        <f t="shared" si="1"/>
        <v>0</v>
      </c>
    </row>
    <row r="40" spans="1:8" ht="15.75" customHeight="1" x14ac:dyDescent="0.2">
      <c r="A40" s="12" t="s">
        <v>45</v>
      </c>
      <c r="B40" s="37" t="s">
        <v>146</v>
      </c>
      <c r="C40" s="13" t="s">
        <v>49</v>
      </c>
      <c r="D40" s="38" t="s">
        <v>92</v>
      </c>
      <c r="E40" s="39">
        <v>2</v>
      </c>
      <c r="F40" s="15">
        <f>IF(Master_Results!$D$40="","",IF(D40=Master_Results!$D$40,1,0))</f>
        <v>1</v>
      </c>
      <c r="G40" s="15">
        <f t="shared" si="1"/>
        <v>2</v>
      </c>
    </row>
    <row r="41" spans="1:8" ht="15.75" customHeight="1" x14ac:dyDescent="0.2">
      <c r="A41" s="12" t="s">
        <v>45</v>
      </c>
      <c r="B41" s="37" t="s">
        <v>147</v>
      </c>
      <c r="C41" s="13" t="s">
        <v>50</v>
      </c>
      <c r="D41" s="38" t="s">
        <v>94</v>
      </c>
      <c r="E41" s="39">
        <v>2</v>
      </c>
      <c r="F41" s="15">
        <f>IF(Master_Results!$D$41="","",IF(D41=Master_Results!$D$41,1,0))</f>
        <v>0</v>
      </c>
      <c r="G41" s="15">
        <f t="shared" si="1"/>
        <v>0</v>
      </c>
    </row>
    <row r="42" spans="1:8" ht="15.75" customHeight="1" x14ac:dyDescent="0.2">
      <c r="A42" s="12" t="s">
        <v>45</v>
      </c>
      <c r="B42" s="37" t="s">
        <v>148</v>
      </c>
      <c r="C42" s="13" t="s">
        <v>51</v>
      </c>
      <c r="D42" s="38" t="s">
        <v>98</v>
      </c>
      <c r="E42" s="39">
        <v>2</v>
      </c>
      <c r="F42" s="15">
        <f>IF(Master_Results!$D$42="","",IF(D42=Master_Results!$D$42,1,0))</f>
        <v>0</v>
      </c>
      <c r="G42" s="15">
        <f t="shared" si="1"/>
        <v>0</v>
      </c>
    </row>
    <row r="43" spans="1:8" ht="15.75" customHeight="1" x14ac:dyDescent="0.2">
      <c r="A43" s="12" t="s">
        <v>45</v>
      </c>
      <c r="B43" s="37" t="s">
        <v>149</v>
      </c>
      <c r="C43" s="13" t="s">
        <v>52</v>
      </c>
      <c r="D43" s="38" t="s">
        <v>100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150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151</v>
      </c>
      <c r="C45" s="13" t="s">
        <v>54</v>
      </c>
      <c r="D45" s="38" t="s">
        <v>110</v>
      </c>
      <c r="E45" s="39">
        <v>2</v>
      </c>
      <c r="F45" s="15">
        <f>IF(Master_Results!$D$45="","",IF(D45=Master_Results!$D$45,1,0))</f>
        <v>1</v>
      </c>
      <c r="G45" s="15">
        <f t="shared" si="1"/>
        <v>2</v>
      </c>
    </row>
    <row r="46" spans="1:8" ht="15.75" customHeight="1" x14ac:dyDescent="0.2">
      <c r="A46" s="12" t="s">
        <v>45</v>
      </c>
      <c r="B46" s="37" t="s">
        <v>152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153</v>
      </c>
      <c r="C47" s="13" t="s">
        <v>56</v>
      </c>
      <c r="D47" s="38" t="s">
        <v>120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154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155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156</v>
      </c>
      <c r="C50" s="13" t="s">
        <v>59</v>
      </c>
      <c r="D50" s="38" t="s">
        <v>132</v>
      </c>
      <c r="E50" s="39">
        <v>2</v>
      </c>
      <c r="F50" s="15">
        <f>IF(Master_Results!$D$50="","",IF(D50=Master_Results!$D$50,1,0))</f>
        <v>1</v>
      </c>
      <c r="G50" s="15">
        <f t="shared" si="1"/>
        <v>2</v>
      </c>
    </row>
    <row r="51" spans="1:8" ht="15.75" customHeight="1" x14ac:dyDescent="0.2">
      <c r="A51" s="12" t="s">
        <v>45</v>
      </c>
      <c r="B51" s="37" t="s">
        <v>157</v>
      </c>
      <c r="C51" s="13" t="s">
        <v>60</v>
      </c>
      <c r="D51" s="38" t="s">
        <v>134</v>
      </c>
      <c r="E51" s="39">
        <v>2</v>
      </c>
      <c r="F51" s="15">
        <f>IF(Master_Results!$D$51="","",IF(D51=Master_Results!$D$51,1,0))</f>
        <v>1</v>
      </c>
      <c r="G51" s="15">
        <f t="shared" si="1"/>
        <v>2</v>
      </c>
    </row>
    <row r="52" spans="1:8" ht="15.75" customHeight="1" x14ac:dyDescent="0.2">
      <c r="A52" s="12" t="s">
        <v>45</v>
      </c>
      <c r="B52" s="37" t="s">
        <v>158</v>
      </c>
      <c r="C52" s="13" t="s">
        <v>61</v>
      </c>
      <c r="D52" s="38" t="s">
        <v>140</v>
      </c>
      <c r="E52" s="39">
        <v>2</v>
      </c>
      <c r="F52" s="15">
        <f>IF(Master_Results!$D$52="","",IF(D52=Master_Results!$D$52,1,0))</f>
        <v>1</v>
      </c>
      <c r="G52" s="15">
        <f t="shared" si="1"/>
        <v>2</v>
      </c>
    </row>
    <row r="53" spans="1:8" ht="19.5" customHeight="1" x14ac:dyDescent="0.2">
      <c r="A53" s="75" t="s">
        <v>159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160</v>
      </c>
      <c r="C54" s="17" t="s">
        <v>46</v>
      </c>
      <c r="D54" s="41" t="s">
        <v>78</v>
      </c>
      <c r="E54" s="42">
        <v>4</v>
      </c>
      <c r="F54" s="19">
        <f>IF(Master_Results!$D$54="","",IF(D54=Master_Results!$D$54,1,0))</f>
        <v>1</v>
      </c>
      <c r="G54" s="19">
        <f t="shared" ref="G54:G61" si="2">IF(F54="","",E54*F54)</f>
        <v>4</v>
      </c>
    </row>
    <row r="55" spans="1:8" ht="15.75" customHeight="1" x14ac:dyDescent="0.2">
      <c r="A55" s="16" t="s">
        <v>63</v>
      </c>
      <c r="B55" s="40" t="s">
        <v>161</v>
      </c>
      <c r="C55" s="17" t="s">
        <v>47</v>
      </c>
      <c r="D55" s="41" t="s">
        <v>92</v>
      </c>
      <c r="E55" s="42">
        <v>4</v>
      </c>
      <c r="F55" s="19">
        <f>IF(Master_Results!$D$55="","",IF(D55=Master_Results!$D$55,1,0))</f>
        <v>1</v>
      </c>
      <c r="G55" s="19">
        <f t="shared" si="2"/>
        <v>4</v>
      </c>
    </row>
    <row r="56" spans="1:8" ht="15.75" customHeight="1" x14ac:dyDescent="0.2">
      <c r="A56" s="16" t="s">
        <v>63</v>
      </c>
      <c r="B56" s="40" t="s">
        <v>162</v>
      </c>
      <c r="C56" s="17" t="s">
        <v>48</v>
      </c>
      <c r="D56" s="41" t="s">
        <v>94</v>
      </c>
      <c r="E56" s="42">
        <v>4</v>
      </c>
      <c r="F56" s="19">
        <f>IF(Master_Results!$D$56="","",IF(D56=Master_Results!$D$56,1,0))</f>
        <v>0</v>
      </c>
      <c r="G56" s="19">
        <f t="shared" si="2"/>
        <v>0</v>
      </c>
    </row>
    <row r="57" spans="1:8" ht="15.75" customHeight="1" x14ac:dyDescent="0.2">
      <c r="A57" s="16" t="s">
        <v>63</v>
      </c>
      <c r="B57" s="40" t="s">
        <v>163</v>
      </c>
      <c r="C57" s="17" t="s">
        <v>49</v>
      </c>
      <c r="D57" s="41" t="s">
        <v>108</v>
      </c>
      <c r="E57" s="42">
        <v>4</v>
      </c>
      <c r="F57" s="19">
        <f>IF(Master_Results!$D$57="","",IF(D57=Master_Results!$D$57,1,0))</f>
        <v>0</v>
      </c>
      <c r="G57" s="19">
        <f t="shared" si="2"/>
        <v>0</v>
      </c>
    </row>
    <row r="58" spans="1:8" ht="15.75" customHeight="1" x14ac:dyDescent="0.2">
      <c r="A58" s="16" t="s">
        <v>63</v>
      </c>
      <c r="B58" s="40" t="s">
        <v>164</v>
      </c>
      <c r="C58" s="17" t="s">
        <v>50</v>
      </c>
      <c r="D58" s="41" t="s">
        <v>110</v>
      </c>
      <c r="E58" s="42">
        <v>4</v>
      </c>
      <c r="F58" s="19">
        <f>IF(Master_Results!$D$58="","",IF(D58=Master_Results!$D$58,1,0))</f>
        <v>1</v>
      </c>
      <c r="G58" s="19">
        <f t="shared" si="2"/>
        <v>4</v>
      </c>
    </row>
    <row r="59" spans="1:8" ht="15.75" customHeight="1" x14ac:dyDescent="0.2">
      <c r="A59" s="16" t="s">
        <v>63</v>
      </c>
      <c r="B59" s="40" t="s">
        <v>165</v>
      </c>
      <c r="C59" s="17" t="s">
        <v>51</v>
      </c>
      <c r="D59" s="41" t="s">
        <v>124</v>
      </c>
      <c r="E59" s="42">
        <v>4</v>
      </c>
      <c r="F59" s="19">
        <f>IF(Master_Results!$D$59="","",IF(D59=Master_Results!$D$59,1,0))</f>
        <v>1</v>
      </c>
      <c r="G59" s="19">
        <f t="shared" si="2"/>
        <v>4</v>
      </c>
    </row>
    <row r="60" spans="1:8" ht="15.75" customHeight="1" x14ac:dyDescent="0.2">
      <c r="A60" s="16" t="s">
        <v>63</v>
      </c>
      <c r="B60" s="40" t="s">
        <v>166</v>
      </c>
      <c r="C60" s="17" t="s">
        <v>52</v>
      </c>
      <c r="D60" s="41" t="s">
        <v>126</v>
      </c>
      <c r="E60" s="42">
        <v>4</v>
      </c>
      <c r="F60" s="19">
        <f>IF(Master_Results!$D$60="","",IF(D60=Master_Results!$D$60,1,0))</f>
        <v>1</v>
      </c>
      <c r="G60" s="19">
        <f t="shared" si="2"/>
        <v>4</v>
      </c>
    </row>
    <row r="61" spans="1:8" ht="15.75" customHeight="1" x14ac:dyDescent="0.2">
      <c r="A61" s="16" t="s">
        <v>63</v>
      </c>
      <c r="B61" s="40" t="s">
        <v>167</v>
      </c>
      <c r="C61" s="17" t="s">
        <v>53</v>
      </c>
      <c r="D61" s="41" t="s">
        <v>132</v>
      </c>
      <c r="E61" s="42">
        <v>4</v>
      </c>
      <c r="F61" s="19">
        <f>IF(Master_Results!$D$61="","",IF(D61=Master_Results!$D$61,1,0))</f>
        <v>0</v>
      </c>
      <c r="G61" s="19">
        <f t="shared" si="2"/>
        <v>0</v>
      </c>
    </row>
    <row r="62" spans="1:8" ht="19.5" customHeight="1" x14ac:dyDescent="0.2">
      <c r="A62" s="76" t="s">
        <v>168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169</v>
      </c>
      <c r="C63" s="21" t="s">
        <v>46</v>
      </c>
      <c r="D63" s="44" t="s">
        <v>92</v>
      </c>
      <c r="E63" s="45">
        <v>8</v>
      </c>
      <c r="F63" s="23">
        <f>IF(Master_Results!$D$63="","",IF(D63=Master_Results!$D$63,1,0))</f>
        <v>1</v>
      </c>
      <c r="G63" s="23">
        <f>IF(F63="","",E63*F63)</f>
        <v>8</v>
      </c>
    </row>
    <row r="64" spans="1:8" ht="15.75" customHeight="1" x14ac:dyDescent="0.2">
      <c r="A64" s="20" t="s">
        <v>65</v>
      </c>
      <c r="B64" s="43" t="s">
        <v>170</v>
      </c>
      <c r="C64" s="21" t="s">
        <v>47</v>
      </c>
      <c r="D64" s="44" t="s">
        <v>108</v>
      </c>
      <c r="E64" s="45">
        <v>8</v>
      </c>
      <c r="F64" s="23">
        <f>IF(Master_Results!$D$64="","",IF(D64=Master_Results!$D$64,1,0))</f>
        <v>0</v>
      </c>
      <c r="G64" s="23">
        <f>IF(F64="","",E64*F64)</f>
        <v>0</v>
      </c>
    </row>
    <row r="65" spans="1:8" ht="15.75" customHeight="1" x14ac:dyDescent="0.2">
      <c r="A65" s="20" t="s">
        <v>65</v>
      </c>
      <c r="B65" s="43" t="s">
        <v>171</v>
      </c>
      <c r="C65" s="21" t="s">
        <v>48</v>
      </c>
      <c r="D65" s="44" t="s">
        <v>124</v>
      </c>
      <c r="E65" s="45">
        <v>8</v>
      </c>
      <c r="F65" s="23">
        <f>IF(Master_Results!$D$65="","",IF(D65=Master_Results!$D$65,1,0))</f>
        <v>0</v>
      </c>
      <c r="G65" s="23">
        <f>IF(F65="","",E65*F65)</f>
        <v>0</v>
      </c>
    </row>
    <row r="66" spans="1:8" ht="15.75" customHeight="1" x14ac:dyDescent="0.2">
      <c r="A66" s="20" t="s">
        <v>65</v>
      </c>
      <c r="B66" s="43" t="s">
        <v>172</v>
      </c>
      <c r="C66" s="21" t="s">
        <v>49</v>
      </c>
      <c r="D66" s="44" t="s">
        <v>132</v>
      </c>
      <c r="E66" s="45">
        <v>8</v>
      </c>
      <c r="F66" s="23">
        <f>IF(Master_Results!$D$66="","",IF(D66=Master_Results!$D$66,1,0))</f>
        <v>0</v>
      </c>
      <c r="G66" s="23">
        <f>IF(F66="","",E66*F66)</f>
        <v>0</v>
      </c>
    </row>
    <row r="67" spans="1:8" ht="19.5" customHeight="1" x14ac:dyDescent="0.2">
      <c r="A67" s="73" t="s">
        <v>173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174</v>
      </c>
      <c r="C68" s="25" t="s">
        <v>46</v>
      </c>
      <c r="D68" s="47" t="s">
        <v>92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175</v>
      </c>
      <c r="C69" s="25" t="s">
        <v>47</v>
      </c>
      <c r="D69" s="47" t="s">
        <v>124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176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177</v>
      </c>
      <c r="C71" s="29" t="s">
        <v>46</v>
      </c>
      <c r="D71" s="50" t="s">
        <v>92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178</v>
      </c>
      <c r="B73" s="69"/>
      <c r="C73" s="69"/>
      <c r="D73" s="69"/>
      <c r="E73" s="71"/>
      <c r="F73" s="52" t="s">
        <v>179</v>
      </c>
      <c r="G73" s="53">
        <f>SUMIF(F3:F71,1,E3:E71)</f>
        <v>70</v>
      </c>
      <c r="H73" s="54">
        <f>SUMIF(F3:F71,"",E3:E71)</f>
        <v>64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6" priority="1">
      <formula>$F3=1</formula>
    </cfRule>
    <cfRule type="expression" dxfId="5" priority="2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3"/>
  <sheetViews>
    <sheetView zoomScaleNormal="100" workbookViewId="0">
      <pane ySplit="2" topLeftCell="A18" activePane="bottomLeft" state="frozen"/>
      <selection pane="bottomLeft" activeCell="D39" sqref="D39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18" customWidth="1"/>
    <col min="5" max="5" width="9" customWidth="1"/>
    <col min="6" max="6" width="10" customWidth="1"/>
    <col min="7" max="7" width="11" customWidth="1"/>
    <col min="8" max="8" width="12" customWidth="1"/>
  </cols>
  <sheetData>
    <row r="1" spans="1:8" ht="30" customHeight="1" x14ac:dyDescent="0.2">
      <c r="A1" s="78" t="s">
        <v>197</v>
      </c>
      <c r="B1" s="69"/>
      <c r="C1" s="69"/>
      <c r="D1" s="69"/>
      <c r="E1" s="69"/>
      <c r="F1" s="69"/>
      <c r="G1" s="69"/>
      <c r="H1" s="69"/>
    </row>
    <row r="2" spans="1:8" ht="21.75" customHeight="1" x14ac:dyDescent="0.2">
      <c r="A2" s="32" t="s">
        <v>1</v>
      </c>
      <c r="B2" s="32" t="s">
        <v>71</v>
      </c>
      <c r="C2" s="32" t="s">
        <v>2</v>
      </c>
      <c r="D2" s="32" t="s">
        <v>72</v>
      </c>
      <c r="E2" s="32" t="s">
        <v>73</v>
      </c>
      <c r="F2" s="32" t="s">
        <v>74</v>
      </c>
      <c r="G2" s="32" t="s">
        <v>75</v>
      </c>
      <c r="H2" s="33"/>
    </row>
    <row r="3" spans="1:8" ht="19.5" customHeight="1" x14ac:dyDescent="0.2">
      <c r="A3" s="74" t="s">
        <v>76</v>
      </c>
      <c r="B3" s="69"/>
      <c r="C3" s="69"/>
      <c r="D3" s="69"/>
      <c r="E3" s="69"/>
      <c r="F3" s="69"/>
      <c r="G3" s="69"/>
      <c r="H3" s="71"/>
    </row>
    <row r="4" spans="1:8" ht="15.75" customHeight="1" x14ac:dyDescent="0.2">
      <c r="A4" s="8" t="s">
        <v>11</v>
      </c>
      <c r="B4" s="34" t="s">
        <v>77</v>
      </c>
      <c r="C4" s="9" t="s">
        <v>12</v>
      </c>
      <c r="D4" s="35" t="s">
        <v>78</v>
      </c>
      <c r="E4" s="36">
        <v>1</v>
      </c>
      <c r="F4" s="11">
        <f>IF(Master_Results!$D$4="","",IF(D4=Master_Results!$D$4,1,0))</f>
        <v>1</v>
      </c>
      <c r="G4" s="11">
        <f t="shared" ref="G4:G35" si="0">IF(F4="","",E4*F4)</f>
        <v>1</v>
      </c>
    </row>
    <row r="5" spans="1:8" ht="15.75" customHeight="1" x14ac:dyDescent="0.2">
      <c r="A5" s="8" t="s">
        <v>11</v>
      </c>
      <c r="B5" s="34" t="s">
        <v>79</v>
      </c>
      <c r="C5" s="9" t="s">
        <v>13</v>
      </c>
      <c r="D5" s="35" t="s">
        <v>80</v>
      </c>
      <c r="E5" s="36">
        <v>1</v>
      </c>
      <c r="F5" s="11">
        <f>IF(Master_Results!$D$5="","",IF(D5=Master_Results!$D$5,1,0))</f>
        <v>1</v>
      </c>
      <c r="G5" s="11">
        <f t="shared" si="0"/>
        <v>1</v>
      </c>
    </row>
    <row r="6" spans="1:8" ht="15.75" customHeight="1" x14ac:dyDescent="0.2">
      <c r="A6" s="8" t="s">
        <v>11</v>
      </c>
      <c r="B6" s="34" t="s">
        <v>81</v>
      </c>
      <c r="C6" s="9" t="s">
        <v>14</v>
      </c>
      <c r="D6" s="35" t="s">
        <v>82</v>
      </c>
      <c r="E6" s="36">
        <v>1</v>
      </c>
      <c r="F6" s="11">
        <f>IF(Master_Results!$D$6="","",IF(D6=Master_Results!$D$6,1,0))</f>
        <v>1</v>
      </c>
      <c r="G6" s="11">
        <f t="shared" si="0"/>
        <v>1</v>
      </c>
    </row>
    <row r="7" spans="1:8" ht="15.75" customHeight="1" x14ac:dyDescent="0.2">
      <c r="A7" s="8" t="s">
        <v>11</v>
      </c>
      <c r="B7" s="34" t="s">
        <v>83</v>
      </c>
      <c r="C7" s="9" t="s">
        <v>15</v>
      </c>
      <c r="D7" s="35" t="s">
        <v>84</v>
      </c>
      <c r="E7" s="36">
        <v>1</v>
      </c>
      <c r="F7" s="11">
        <f>IF(Master_Results!$D$7="","",IF(D7=Master_Results!$D$7,1,0))</f>
        <v>1</v>
      </c>
      <c r="G7" s="11">
        <f t="shared" si="0"/>
        <v>1</v>
      </c>
    </row>
    <row r="8" spans="1:8" ht="15.75" customHeight="1" x14ac:dyDescent="0.2">
      <c r="A8" s="8" t="s">
        <v>11</v>
      </c>
      <c r="B8" s="34" t="s">
        <v>85</v>
      </c>
      <c r="C8" s="9" t="s">
        <v>16</v>
      </c>
      <c r="D8" s="35" t="s">
        <v>181</v>
      </c>
      <c r="E8" s="36">
        <v>1</v>
      </c>
      <c r="F8" s="11">
        <f>IF(Master_Results!$D$8="","",IF(D8=Master_Results!$D$8,1,0))</f>
        <v>1</v>
      </c>
      <c r="G8" s="11">
        <f t="shared" si="0"/>
        <v>1</v>
      </c>
    </row>
    <row r="9" spans="1:8" ht="15.75" customHeight="1" x14ac:dyDescent="0.2">
      <c r="A9" s="8" t="s">
        <v>11</v>
      </c>
      <c r="B9" s="34" t="s">
        <v>87</v>
      </c>
      <c r="C9" s="9" t="s">
        <v>17</v>
      </c>
      <c r="D9" s="35" t="s">
        <v>88</v>
      </c>
      <c r="E9" s="36">
        <v>1</v>
      </c>
      <c r="F9" s="11">
        <f>IF(Master_Results!$D$9="","",IF(D9=Master_Results!$D$9,1,0))</f>
        <v>1</v>
      </c>
      <c r="G9" s="11">
        <f t="shared" si="0"/>
        <v>1</v>
      </c>
    </row>
    <row r="10" spans="1:8" ht="15.75" customHeight="1" x14ac:dyDescent="0.2">
      <c r="A10" s="8" t="s">
        <v>11</v>
      </c>
      <c r="B10" s="34" t="s">
        <v>89</v>
      </c>
      <c r="C10" s="9" t="s">
        <v>18</v>
      </c>
      <c r="D10" s="35" t="s">
        <v>186</v>
      </c>
      <c r="E10" s="36">
        <v>1</v>
      </c>
      <c r="F10" s="11">
        <f>IF(Master_Results!$D$10="","",IF(D10=Master_Results!$D$10,1,0))</f>
        <v>1</v>
      </c>
      <c r="G10" s="11">
        <f t="shared" si="0"/>
        <v>1</v>
      </c>
    </row>
    <row r="11" spans="1:8" ht="15.75" customHeight="1" x14ac:dyDescent="0.2">
      <c r="A11" s="8" t="s">
        <v>11</v>
      </c>
      <c r="B11" s="34" t="s">
        <v>91</v>
      </c>
      <c r="C11" s="9" t="s">
        <v>19</v>
      </c>
      <c r="D11" s="35" t="s">
        <v>92</v>
      </c>
      <c r="E11" s="36">
        <v>1</v>
      </c>
      <c r="F11" s="11">
        <f>IF(Master_Results!$D$11="","",IF(D11=Master_Results!$D$11,1,0))</f>
        <v>1</v>
      </c>
      <c r="G11" s="11">
        <f t="shared" si="0"/>
        <v>1</v>
      </c>
    </row>
    <row r="12" spans="1:8" ht="15.75" customHeight="1" x14ac:dyDescent="0.2">
      <c r="A12" s="8" t="s">
        <v>11</v>
      </c>
      <c r="B12" s="34" t="s">
        <v>93</v>
      </c>
      <c r="C12" s="9" t="s">
        <v>20</v>
      </c>
      <c r="D12" s="35" t="s">
        <v>94</v>
      </c>
      <c r="E12" s="36">
        <v>1</v>
      </c>
      <c r="F12" s="11">
        <f>IF(Master_Results!$D$12="","",IF(D12=Master_Results!$D$12,1,0))</f>
        <v>1</v>
      </c>
      <c r="G12" s="11">
        <f t="shared" si="0"/>
        <v>1</v>
      </c>
    </row>
    <row r="13" spans="1:8" ht="15.75" customHeight="1" x14ac:dyDescent="0.2">
      <c r="A13" s="8" t="s">
        <v>11</v>
      </c>
      <c r="B13" s="34" t="s">
        <v>95</v>
      </c>
      <c r="C13" s="9" t="s">
        <v>21</v>
      </c>
      <c r="D13" s="35" t="s">
        <v>187</v>
      </c>
      <c r="E13" s="36">
        <v>1</v>
      </c>
      <c r="F13" s="11">
        <f>IF(Master_Results!$D$13="","",IF(D13=Master_Results!$D$13,1,0))</f>
        <v>0</v>
      </c>
      <c r="G13" s="11">
        <f t="shared" si="0"/>
        <v>0</v>
      </c>
    </row>
    <row r="14" spans="1:8" ht="15.75" customHeight="1" x14ac:dyDescent="0.2">
      <c r="A14" s="8" t="s">
        <v>11</v>
      </c>
      <c r="B14" s="34" t="s">
        <v>97</v>
      </c>
      <c r="C14" s="9" t="s">
        <v>22</v>
      </c>
      <c r="D14" s="35" t="s">
        <v>98</v>
      </c>
      <c r="E14" s="36">
        <v>1</v>
      </c>
      <c r="F14" s="11">
        <f>IF(Master_Results!$D$14="","",IF(D14=Master_Results!$D$14,1,0))</f>
        <v>1</v>
      </c>
      <c r="G14" s="11">
        <f t="shared" si="0"/>
        <v>1</v>
      </c>
    </row>
    <row r="15" spans="1:8" ht="15.75" customHeight="1" x14ac:dyDescent="0.2">
      <c r="A15" s="8" t="s">
        <v>11</v>
      </c>
      <c r="B15" s="34" t="s">
        <v>99</v>
      </c>
      <c r="C15" s="9" t="s">
        <v>23</v>
      </c>
      <c r="D15" s="35" t="s">
        <v>100</v>
      </c>
      <c r="E15" s="36">
        <v>1</v>
      </c>
      <c r="F15" s="11">
        <f>IF(Master_Results!$D$15="","",IF(D15=Master_Results!$D$15,1,0))</f>
        <v>1</v>
      </c>
      <c r="G15" s="11">
        <f t="shared" si="0"/>
        <v>1</v>
      </c>
    </row>
    <row r="16" spans="1:8" ht="15.75" customHeight="1" x14ac:dyDescent="0.2">
      <c r="A16" s="8" t="s">
        <v>11</v>
      </c>
      <c r="B16" s="34" t="s">
        <v>101</v>
      </c>
      <c r="C16" s="9" t="s">
        <v>24</v>
      </c>
      <c r="D16" s="35" t="s">
        <v>182</v>
      </c>
      <c r="E16" s="36">
        <v>1</v>
      </c>
      <c r="F16" s="11">
        <f>IF(Master_Results!$D$16="","",IF(D16=Master_Results!$D$16,1,0))</f>
        <v>0</v>
      </c>
      <c r="G16" s="11">
        <f t="shared" si="0"/>
        <v>0</v>
      </c>
    </row>
    <row r="17" spans="1:7" ht="15.75" customHeight="1" x14ac:dyDescent="0.2">
      <c r="A17" s="8" t="s">
        <v>11</v>
      </c>
      <c r="B17" s="34" t="s">
        <v>103</v>
      </c>
      <c r="C17" s="9" t="s">
        <v>25</v>
      </c>
      <c r="D17" s="35" t="s">
        <v>104</v>
      </c>
      <c r="E17" s="36">
        <v>1</v>
      </c>
      <c r="F17" s="11">
        <f>IF(Master_Results!$D$17="","",IF(D17=Master_Results!$D$17,1,0))</f>
        <v>1</v>
      </c>
      <c r="G17" s="11">
        <f t="shared" si="0"/>
        <v>1</v>
      </c>
    </row>
    <row r="18" spans="1:7" ht="15.75" customHeight="1" x14ac:dyDescent="0.2">
      <c r="A18" s="8" t="s">
        <v>11</v>
      </c>
      <c r="B18" s="34" t="s">
        <v>105</v>
      </c>
      <c r="C18" s="9" t="s">
        <v>26</v>
      </c>
      <c r="D18" s="35" t="s">
        <v>183</v>
      </c>
      <c r="E18" s="36">
        <v>1</v>
      </c>
      <c r="F18" s="11">
        <f>IF(Master_Results!$D$18="","",IF(D18=Master_Results!$D$18,1,0))</f>
        <v>1</v>
      </c>
      <c r="G18" s="11">
        <f t="shared" si="0"/>
        <v>1</v>
      </c>
    </row>
    <row r="19" spans="1:7" ht="15.75" customHeight="1" x14ac:dyDescent="0.2">
      <c r="A19" s="8" t="s">
        <v>11</v>
      </c>
      <c r="B19" s="34" t="s">
        <v>107</v>
      </c>
      <c r="C19" s="9" t="s">
        <v>27</v>
      </c>
      <c r="D19" s="35" t="s">
        <v>108</v>
      </c>
      <c r="E19" s="36">
        <v>1</v>
      </c>
      <c r="F19" s="11">
        <f>IF(Master_Results!$D$19="","",IF(D19=Master_Results!$D$19,1,0))</f>
        <v>1</v>
      </c>
      <c r="G19" s="11">
        <f t="shared" si="0"/>
        <v>1</v>
      </c>
    </row>
    <row r="20" spans="1:7" ht="15.75" customHeight="1" x14ac:dyDescent="0.2">
      <c r="A20" s="8" t="s">
        <v>11</v>
      </c>
      <c r="B20" s="34" t="s">
        <v>109</v>
      </c>
      <c r="C20" s="9" t="s">
        <v>28</v>
      </c>
      <c r="D20" s="35" t="s">
        <v>110</v>
      </c>
      <c r="E20" s="36">
        <v>1</v>
      </c>
      <c r="F20" s="11">
        <f>IF(Master_Results!$D$20="","",IF(D20=Master_Results!$D$20,1,0))</f>
        <v>1</v>
      </c>
      <c r="G20" s="11">
        <f t="shared" si="0"/>
        <v>1</v>
      </c>
    </row>
    <row r="21" spans="1:7" ht="15.75" customHeight="1" x14ac:dyDescent="0.2">
      <c r="A21" s="8" t="s">
        <v>11</v>
      </c>
      <c r="B21" s="34" t="s">
        <v>111</v>
      </c>
      <c r="C21" s="9" t="s">
        <v>29</v>
      </c>
      <c r="D21" s="35" t="s">
        <v>112</v>
      </c>
      <c r="E21" s="36">
        <v>1</v>
      </c>
      <c r="F21" s="11">
        <f>IF(Master_Results!$D$21="","",IF(D21=Master_Results!$D$21,1,0))</f>
        <v>0</v>
      </c>
      <c r="G21" s="11">
        <f t="shared" si="0"/>
        <v>0</v>
      </c>
    </row>
    <row r="22" spans="1:7" ht="15.75" customHeight="1" x14ac:dyDescent="0.2">
      <c r="A22" s="8" t="s">
        <v>11</v>
      </c>
      <c r="B22" s="34" t="s">
        <v>113</v>
      </c>
      <c r="C22" s="9" t="s">
        <v>30</v>
      </c>
      <c r="D22" s="35" t="s">
        <v>114</v>
      </c>
      <c r="E22" s="36">
        <v>1</v>
      </c>
      <c r="F22" s="11">
        <f>IF(Master_Results!$D$22="","",IF(D22=Master_Results!$D$22,1,0))</f>
        <v>0</v>
      </c>
      <c r="G22" s="11">
        <f t="shared" si="0"/>
        <v>0</v>
      </c>
    </row>
    <row r="23" spans="1:7" ht="15.75" customHeight="1" x14ac:dyDescent="0.2">
      <c r="A23" s="8" t="s">
        <v>11</v>
      </c>
      <c r="B23" s="34" t="s">
        <v>115</v>
      </c>
      <c r="C23" s="9" t="s">
        <v>31</v>
      </c>
      <c r="D23" s="35" t="s">
        <v>116</v>
      </c>
      <c r="E23" s="36">
        <v>1</v>
      </c>
      <c r="F23" s="11">
        <f>IF(Master_Results!$D$23="","",IF(D23=Master_Results!$D$23,1,0))</f>
        <v>1</v>
      </c>
      <c r="G23" s="11">
        <f t="shared" si="0"/>
        <v>1</v>
      </c>
    </row>
    <row r="24" spans="1:7" ht="15.75" customHeight="1" x14ac:dyDescent="0.2">
      <c r="A24" s="8" t="s">
        <v>11</v>
      </c>
      <c r="B24" s="34" t="s">
        <v>117</v>
      </c>
      <c r="C24" s="9" t="s">
        <v>32</v>
      </c>
      <c r="D24" s="35" t="s">
        <v>118</v>
      </c>
      <c r="E24" s="36">
        <v>1</v>
      </c>
      <c r="F24" s="11">
        <f>IF(Master_Results!$D$24="","",IF(D24=Master_Results!$D$24,1,0))</f>
        <v>0</v>
      </c>
      <c r="G24" s="11">
        <f t="shared" si="0"/>
        <v>0</v>
      </c>
    </row>
    <row r="25" spans="1:7" ht="15.75" customHeight="1" x14ac:dyDescent="0.2">
      <c r="A25" s="8" t="s">
        <v>11</v>
      </c>
      <c r="B25" s="34" t="s">
        <v>119</v>
      </c>
      <c r="C25" s="9" t="s">
        <v>33</v>
      </c>
      <c r="D25" s="35" t="s">
        <v>120</v>
      </c>
      <c r="E25" s="36">
        <v>1</v>
      </c>
      <c r="F25" s="11">
        <f>IF(Master_Results!$D$25="","",IF(D25=Master_Results!$D$25,1,0))</f>
        <v>1</v>
      </c>
      <c r="G25" s="11">
        <f t="shared" si="0"/>
        <v>1</v>
      </c>
    </row>
    <row r="26" spans="1:7" ht="15.75" customHeight="1" x14ac:dyDescent="0.2">
      <c r="A26" s="8" t="s">
        <v>11</v>
      </c>
      <c r="B26" s="34" t="s">
        <v>121</v>
      </c>
      <c r="C26" s="9" t="s">
        <v>34</v>
      </c>
      <c r="D26" s="35" t="s">
        <v>122</v>
      </c>
      <c r="E26" s="36">
        <v>1</v>
      </c>
      <c r="F26" s="11">
        <f>IF(Master_Results!$D$26="","",IF(D26=Master_Results!$D$26,1,0))</f>
        <v>1</v>
      </c>
      <c r="G26" s="11">
        <f t="shared" si="0"/>
        <v>1</v>
      </c>
    </row>
    <row r="27" spans="1:7" ht="15.75" customHeight="1" x14ac:dyDescent="0.2">
      <c r="A27" s="8" t="s">
        <v>11</v>
      </c>
      <c r="B27" s="34" t="s">
        <v>123</v>
      </c>
      <c r="C27" s="9" t="s">
        <v>35</v>
      </c>
      <c r="D27" s="35" t="s">
        <v>124</v>
      </c>
      <c r="E27" s="36">
        <v>1</v>
      </c>
      <c r="F27" s="11">
        <f>IF(Master_Results!$D$27="","",IF(D27=Master_Results!$D$27,1,0))</f>
        <v>1</v>
      </c>
      <c r="G27" s="11">
        <f t="shared" si="0"/>
        <v>1</v>
      </c>
    </row>
    <row r="28" spans="1:7" ht="15.75" customHeight="1" x14ac:dyDescent="0.2">
      <c r="A28" s="8" t="s">
        <v>11</v>
      </c>
      <c r="B28" s="34" t="s">
        <v>125</v>
      </c>
      <c r="C28" s="9" t="s">
        <v>36</v>
      </c>
      <c r="D28" s="35" t="s">
        <v>126</v>
      </c>
      <c r="E28" s="36">
        <v>1</v>
      </c>
      <c r="F28" s="11">
        <f>IF(Master_Results!$D$28="","",IF(D28=Master_Results!$D$28,1,0))</f>
        <v>1</v>
      </c>
      <c r="G28" s="11">
        <f t="shared" si="0"/>
        <v>1</v>
      </c>
    </row>
    <row r="29" spans="1:7" ht="15.75" customHeight="1" x14ac:dyDescent="0.2">
      <c r="A29" s="8" t="s">
        <v>11</v>
      </c>
      <c r="B29" s="34" t="s">
        <v>127</v>
      </c>
      <c r="C29" s="9" t="s">
        <v>37</v>
      </c>
      <c r="D29" s="35" t="s">
        <v>192</v>
      </c>
      <c r="E29" s="36">
        <v>1</v>
      </c>
      <c r="F29" s="11">
        <f>IF(Master_Results!$D$29="","",IF(D29=Master_Results!$D$29,1,0))</f>
        <v>1</v>
      </c>
      <c r="G29" s="11">
        <f t="shared" si="0"/>
        <v>1</v>
      </c>
    </row>
    <row r="30" spans="1:7" ht="15.75" customHeight="1" x14ac:dyDescent="0.2">
      <c r="A30" s="8" t="s">
        <v>11</v>
      </c>
      <c r="B30" s="34" t="s">
        <v>129</v>
      </c>
      <c r="C30" s="9" t="s">
        <v>38</v>
      </c>
      <c r="D30" s="35" t="s">
        <v>130</v>
      </c>
      <c r="E30" s="36">
        <v>1</v>
      </c>
      <c r="F30" s="11">
        <f>IF(Master_Results!$D$30="","",IF(D30=Master_Results!$D$30,1,0))</f>
        <v>1</v>
      </c>
      <c r="G30" s="11">
        <f t="shared" si="0"/>
        <v>1</v>
      </c>
    </row>
    <row r="31" spans="1:7" ht="15.75" customHeight="1" x14ac:dyDescent="0.2">
      <c r="A31" s="8" t="s">
        <v>11</v>
      </c>
      <c r="B31" s="34" t="s">
        <v>131</v>
      </c>
      <c r="C31" s="9" t="s">
        <v>39</v>
      </c>
      <c r="D31" s="35" t="s">
        <v>132</v>
      </c>
      <c r="E31" s="36">
        <v>1</v>
      </c>
      <c r="F31" s="11">
        <f>IF(Master_Results!$D$31="","",IF(D31=Master_Results!$D$31,1,0))</f>
        <v>1</v>
      </c>
      <c r="G31" s="11">
        <f t="shared" si="0"/>
        <v>1</v>
      </c>
    </row>
    <row r="32" spans="1:7" ht="15.75" customHeight="1" x14ac:dyDescent="0.2">
      <c r="A32" s="8" t="s">
        <v>11</v>
      </c>
      <c r="B32" s="34" t="s">
        <v>133</v>
      </c>
      <c r="C32" s="9" t="s">
        <v>40</v>
      </c>
      <c r="D32" s="35" t="s">
        <v>134</v>
      </c>
      <c r="E32" s="36">
        <v>1</v>
      </c>
      <c r="F32" s="11">
        <f>IF(Master_Results!$D$32="","",IF(D32=Master_Results!$D$32,1,0))</f>
        <v>1</v>
      </c>
      <c r="G32" s="11">
        <f t="shared" si="0"/>
        <v>1</v>
      </c>
    </row>
    <row r="33" spans="1:8" ht="15.75" customHeight="1" x14ac:dyDescent="0.2">
      <c r="A33" s="8" t="s">
        <v>11</v>
      </c>
      <c r="B33" s="34" t="s">
        <v>135</v>
      </c>
      <c r="C33" s="9" t="s">
        <v>41</v>
      </c>
      <c r="D33" s="35" t="s">
        <v>136</v>
      </c>
      <c r="E33" s="36">
        <v>1</v>
      </c>
      <c r="F33" s="11">
        <f>IF(Master_Results!$D$33="","",IF(D33=Master_Results!$D$33,1,0))</f>
        <v>1</v>
      </c>
      <c r="G33" s="11">
        <f t="shared" si="0"/>
        <v>1</v>
      </c>
    </row>
    <row r="34" spans="1:8" ht="15.75" customHeight="1" x14ac:dyDescent="0.2">
      <c r="A34" s="8" t="s">
        <v>11</v>
      </c>
      <c r="B34" s="34" t="s">
        <v>137</v>
      </c>
      <c r="C34" s="9" t="s">
        <v>42</v>
      </c>
      <c r="D34" s="35" t="s">
        <v>138</v>
      </c>
      <c r="E34" s="36">
        <v>1</v>
      </c>
      <c r="F34" s="11">
        <f>IF(Master_Results!$D$34="","",IF(D34=Master_Results!$D$34,1,0))</f>
        <v>1</v>
      </c>
      <c r="G34" s="11">
        <f t="shared" si="0"/>
        <v>1</v>
      </c>
    </row>
    <row r="35" spans="1:8" ht="15.75" customHeight="1" x14ac:dyDescent="0.2">
      <c r="A35" s="8" t="s">
        <v>11</v>
      </c>
      <c r="B35" s="34" t="s">
        <v>139</v>
      </c>
      <c r="C35" s="9" t="s">
        <v>43</v>
      </c>
      <c r="D35" s="35" t="s">
        <v>140</v>
      </c>
      <c r="E35" s="36">
        <v>1</v>
      </c>
      <c r="F35" s="11">
        <f>IF(Master_Results!$D$35="","",IF(D35=Master_Results!$D$35,1,0))</f>
        <v>1</v>
      </c>
      <c r="G35" s="11">
        <f t="shared" si="0"/>
        <v>1</v>
      </c>
    </row>
    <row r="36" spans="1:8" ht="19.5" customHeight="1" x14ac:dyDescent="0.2">
      <c r="A36" s="70" t="s">
        <v>141</v>
      </c>
      <c r="B36" s="69"/>
      <c r="C36" s="69"/>
      <c r="D36" s="69"/>
      <c r="E36" s="69"/>
      <c r="F36" s="69"/>
      <c r="G36" s="69"/>
      <c r="H36" s="71"/>
    </row>
    <row r="37" spans="1:8" ht="15.75" customHeight="1" x14ac:dyDescent="0.2">
      <c r="A37" s="12" t="s">
        <v>45</v>
      </c>
      <c r="B37" s="37" t="s">
        <v>142</v>
      </c>
      <c r="C37" s="13" t="s">
        <v>46</v>
      </c>
      <c r="D37" s="38" t="s">
        <v>78</v>
      </c>
      <c r="E37" s="39">
        <v>2</v>
      </c>
      <c r="F37" s="15">
        <f>IF(Master_Results!$D$37="","",IF(D37=Master_Results!$D$37,1,0))</f>
        <v>1</v>
      </c>
      <c r="G37" s="15">
        <f t="shared" ref="G37:G52" si="1">IF(F37="","",E37*F37)</f>
        <v>2</v>
      </c>
    </row>
    <row r="38" spans="1:8" ht="15.75" customHeight="1" x14ac:dyDescent="0.2">
      <c r="A38" s="12" t="s">
        <v>45</v>
      </c>
      <c r="B38" s="37" t="s">
        <v>143</v>
      </c>
      <c r="C38" s="13" t="s">
        <v>47</v>
      </c>
      <c r="D38" s="38" t="s">
        <v>82</v>
      </c>
      <c r="E38" s="39">
        <v>2</v>
      </c>
      <c r="F38" s="15">
        <f>IF(Master_Results!$D$38="","",IF(D38=Master_Results!$D$38,1,0))</f>
        <v>1</v>
      </c>
      <c r="G38" s="15">
        <f t="shared" si="1"/>
        <v>2</v>
      </c>
    </row>
    <row r="39" spans="1:8" ht="15.75" customHeight="1" x14ac:dyDescent="0.2">
      <c r="A39" s="12" t="s">
        <v>45</v>
      </c>
      <c r="B39" s="37" t="s">
        <v>144</v>
      </c>
      <c r="C39" s="13" t="s">
        <v>48</v>
      </c>
      <c r="D39" s="38" t="s">
        <v>145</v>
      </c>
      <c r="E39" s="39">
        <v>2</v>
      </c>
      <c r="F39" s="15">
        <f>IF(Master_Results!$D$39="","",IF(D39=Master_Results!$D$39,1,0))</f>
        <v>0</v>
      </c>
      <c r="G39" s="15">
        <f t="shared" si="1"/>
        <v>0</v>
      </c>
    </row>
    <row r="40" spans="1:8" ht="15.75" customHeight="1" x14ac:dyDescent="0.2">
      <c r="A40" s="12" t="s">
        <v>45</v>
      </c>
      <c r="B40" s="37" t="s">
        <v>146</v>
      </c>
      <c r="C40" s="13" t="s">
        <v>49</v>
      </c>
      <c r="D40" s="38" t="s">
        <v>186</v>
      </c>
      <c r="E40" s="39">
        <v>2</v>
      </c>
      <c r="F40" s="15">
        <f>IF(Master_Results!$D$40="","",IF(D40=Master_Results!$D$40,1,0))</f>
        <v>0</v>
      </c>
      <c r="G40" s="15">
        <f t="shared" si="1"/>
        <v>0</v>
      </c>
    </row>
    <row r="41" spans="1:8" ht="15.75" customHeight="1" x14ac:dyDescent="0.2">
      <c r="A41" s="12" t="s">
        <v>45</v>
      </c>
      <c r="B41" s="37" t="s">
        <v>147</v>
      </c>
      <c r="C41" s="13" t="s">
        <v>50</v>
      </c>
      <c r="D41" s="38" t="s">
        <v>94</v>
      </c>
      <c r="E41" s="39">
        <v>2</v>
      </c>
      <c r="F41" s="15">
        <f>IF(Master_Results!$D$41="","",IF(D41=Master_Results!$D$41,1,0))</f>
        <v>0</v>
      </c>
      <c r="G41" s="15">
        <f t="shared" si="1"/>
        <v>0</v>
      </c>
    </row>
    <row r="42" spans="1:8" ht="15.75" customHeight="1" x14ac:dyDescent="0.2">
      <c r="A42" s="12" t="s">
        <v>45</v>
      </c>
      <c r="B42" s="37" t="s">
        <v>148</v>
      </c>
      <c r="C42" s="13" t="s">
        <v>51</v>
      </c>
      <c r="D42" s="38" t="s">
        <v>98</v>
      </c>
      <c r="E42" s="39">
        <v>2</v>
      </c>
      <c r="F42" s="15">
        <f>IF(Master_Results!$D$42="","",IF(D42=Master_Results!$D$42,1,0))</f>
        <v>0</v>
      </c>
      <c r="G42" s="15">
        <f t="shared" si="1"/>
        <v>0</v>
      </c>
    </row>
    <row r="43" spans="1:8" ht="15.75" customHeight="1" x14ac:dyDescent="0.2">
      <c r="A43" s="12" t="s">
        <v>45</v>
      </c>
      <c r="B43" s="37" t="s">
        <v>149</v>
      </c>
      <c r="C43" s="13" t="s">
        <v>52</v>
      </c>
      <c r="D43" s="38" t="s">
        <v>182</v>
      </c>
      <c r="E43" s="39">
        <v>2</v>
      </c>
      <c r="F43" s="15">
        <f>IF(Master_Results!$D$43="","",IF(D43=Master_Results!$D$43,1,0))</f>
        <v>0</v>
      </c>
      <c r="G43" s="15">
        <f t="shared" si="1"/>
        <v>0</v>
      </c>
    </row>
    <row r="44" spans="1:8" ht="15.75" customHeight="1" x14ac:dyDescent="0.2">
      <c r="A44" s="12" t="s">
        <v>45</v>
      </c>
      <c r="B44" s="37" t="s">
        <v>150</v>
      </c>
      <c r="C44" s="13" t="s">
        <v>53</v>
      </c>
      <c r="D44" s="38" t="s">
        <v>108</v>
      </c>
      <c r="E44" s="39">
        <v>2</v>
      </c>
      <c r="F44" s="15">
        <f>IF(Master_Results!$D$44="","",IF(D44=Master_Results!$D$44,1,0))</f>
        <v>1</v>
      </c>
      <c r="G44" s="15">
        <f t="shared" si="1"/>
        <v>2</v>
      </c>
    </row>
    <row r="45" spans="1:8" ht="15.75" customHeight="1" x14ac:dyDescent="0.2">
      <c r="A45" s="12" t="s">
        <v>45</v>
      </c>
      <c r="B45" s="37" t="s">
        <v>151</v>
      </c>
      <c r="C45" s="13" t="s">
        <v>54</v>
      </c>
      <c r="D45" s="38" t="s">
        <v>110</v>
      </c>
      <c r="E45" s="39">
        <v>2</v>
      </c>
      <c r="F45" s="15">
        <f>IF(Master_Results!$D$45="","",IF(D45=Master_Results!$D$45,1,0))</f>
        <v>1</v>
      </c>
      <c r="G45" s="15">
        <f t="shared" si="1"/>
        <v>2</v>
      </c>
    </row>
    <row r="46" spans="1:8" ht="15.75" customHeight="1" x14ac:dyDescent="0.2">
      <c r="A46" s="12" t="s">
        <v>45</v>
      </c>
      <c r="B46" s="37" t="s">
        <v>152</v>
      </c>
      <c r="C46" s="13" t="s">
        <v>55</v>
      </c>
      <c r="D46" s="38" t="s">
        <v>116</v>
      </c>
      <c r="E46" s="39">
        <v>2</v>
      </c>
      <c r="F46" s="15">
        <f>IF(Master_Results!$D$46="","",IF(D46=Master_Results!$D$46,1,0))</f>
        <v>1</v>
      </c>
      <c r="G46" s="15">
        <f t="shared" si="1"/>
        <v>2</v>
      </c>
    </row>
    <row r="47" spans="1:8" ht="15.75" customHeight="1" x14ac:dyDescent="0.2">
      <c r="A47" s="12" t="s">
        <v>45</v>
      </c>
      <c r="B47" s="37" t="s">
        <v>153</v>
      </c>
      <c r="C47" s="13" t="s">
        <v>56</v>
      </c>
      <c r="D47" s="38" t="s">
        <v>120</v>
      </c>
      <c r="E47" s="39">
        <v>2</v>
      </c>
      <c r="F47" s="15">
        <f>IF(Master_Results!$D$47="","",IF(D47=Master_Results!$D$47,1,0))</f>
        <v>0</v>
      </c>
      <c r="G47" s="15">
        <f t="shared" si="1"/>
        <v>0</v>
      </c>
    </row>
    <row r="48" spans="1:8" ht="15.75" customHeight="1" x14ac:dyDescent="0.2">
      <c r="A48" s="12" t="s">
        <v>45</v>
      </c>
      <c r="B48" s="37" t="s">
        <v>154</v>
      </c>
      <c r="C48" s="13" t="s">
        <v>57</v>
      </c>
      <c r="D48" s="38" t="s">
        <v>124</v>
      </c>
      <c r="E48" s="39">
        <v>2</v>
      </c>
      <c r="F48" s="15">
        <f>IF(Master_Results!$D$48="","",IF(D48=Master_Results!$D$48,1,0))</f>
        <v>1</v>
      </c>
      <c r="G48" s="15">
        <f t="shared" si="1"/>
        <v>2</v>
      </c>
    </row>
    <row r="49" spans="1:8" ht="15.75" customHeight="1" x14ac:dyDescent="0.2">
      <c r="A49" s="12" t="s">
        <v>45</v>
      </c>
      <c r="B49" s="37" t="s">
        <v>155</v>
      </c>
      <c r="C49" s="13" t="s">
        <v>58</v>
      </c>
      <c r="D49" s="38" t="s">
        <v>126</v>
      </c>
      <c r="E49" s="39">
        <v>2</v>
      </c>
      <c r="F49" s="15">
        <f>IF(Master_Results!$D$49="","",IF(D49=Master_Results!$D$49,1,0))</f>
        <v>1</v>
      </c>
      <c r="G49" s="15">
        <f t="shared" si="1"/>
        <v>2</v>
      </c>
    </row>
    <row r="50" spans="1:8" ht="15.75" customHeight="1" x14ac:dyDescent="0.2">
      <c r="A50" s="12" t="s">
        <v>45</v>
      </c>
      <c r="B50" s="37" t="s">
        <v>156</v>
      </c>
      <c r="C50" s="13" t="s">
        <v>59</v>
      </c>
      <c r="D50" s="38" t="s">
        <v>130</v>
      </c>
      <c r="E50" s="39">
        <v>2</v>
      </c>
      <c r="F50" s="15">
        <f>IF(Master_Results!$D$50="","",IF(D50=Master_Results!$D$50,1,0))</f>
        <v>0</v>
      </c>
      <c r="G50" s="15">
        <f t="shared" si="1"/>
        <v>0</v>
      </c>
    </row>
    <row r="51" spans="1:8" ht="15.75" customHeight="1" x14ac:dyDescent="0.2">
      <c r="A51" s="12" t="s">
        <v>45</v>
      </c>
      <c r="B51" s="37" t="s">
        <v>157</v>
      </c>
      <c r="C51" s="13" t="s">
        <v>60</v>
      </c>
      <c r="D51" s="38" t="s">
        <v>136</v>
      </c>
      <c r="E51" s="39">
        <v>2</v>
      </c>
      <c r="F51" s="15">
        <f>IF(Master_Results!$D$51="","",IF(D51=Master_Results!$D$51,1,0))</f>
        <v>0</v>
      </c>
      <c r="G51" s="15">
        <f t="shared" si="1"/>
        <v>0</v>
      </c>
    </row>
    <row r="52" spans="1:8" ht="15.75" customHeight="1" x14ac:dyDescent="0.2">
      <c r="A52" s="12" t="s">
        <v>45</v>
      </c>
      <c r="B52" s="37" t="s">
        <v>158</v>
      </c>
      <c r="C52" s="13" t="s">
        <v>61</v>
      </c>
      <c r="D52" s="38" t="s">
        <v>140</v>
      </c>
      <c r="E52" s="39">
        <v>2</v>
      </c>
      <c r="F52" s="15">
        <f>IF(Master_Results!$D$52="","",IF(D52=Master_Results!$D$52,1,0))</f>
        <v>1</v>
      </c>
      <c r="G52" s="15">
        <f t="shared" si="1"/>
        <v>2</v>
      </c>
    </row>
    <row r="53" spans="1:8" ht="19.5" customHeight="1" x14ac:dyDescent="0.2">
      <c r="A53" s="75" t="s">
        <v>159</v>
      </c>
      <c r="B53" s="69"/>
      <c r="C53" s="69"/>
      <c r="D53" s="69"/>
      <c r="E53" s="69"/>
      <c r="F53" s="69"/>
      <c r="G53" s="69"/>
      <c r="H53" s="71"/>
    </row>
    <row r="54" spans="1:8" ht="15.75" customHeight="1" x14ac:dyDescent="0.2">
      <c r="A54" s="16" t="s">
        <v>63</v>
      </c>
      <c r="B54" s="40" t="s">
        <v>160</v>
      </c>
      <c r="C54" s="17" t="s">
        <v>46</v>
      </c>
      <c r="D54" s="41" t="s">
        <v>78</v>
      </c>
      <c r="E54" s="42">
        <v>4</v>
      </c>
      <c r="F54" s="19">
        <f>IF(Master_Results!$D$54="","",IF(D54=Master_Results!$D$54,1,0))</f>
        <v>1</v>
      </c>
      <c r="G54" s="19">
        <f t="shared" ref="G54:G61" si="2">IF(F54="","",E54*F54)</f>
        <v>4</v>
      </c>
    </row>
    <row r="55" spans="1:8" ht="15.75" customHeight="1" x14ac:dyDescent="0.2">
      <c r="A55" s="16" t="s">
        <v>63</v>
      </c>
      <c r="B55" s="40" t="s">
        <v>161</v>
      </c>
      <c r="C55" s="17" t="s">
        <v>47</v>
      </c>
      <c r="D55" s="41" t="s">
        <v>186</v>
      </c>
      <c r="E55" s="42">
        <v>4</v>
      </c>
      <c r="F55" s="19">
        <f>IF(Master_Results!$D$55="","",IF(D55=Master_Results!$D$55,1,0))</f>
        <v>0</v>
      </c>
      <c r="G55" s="19">
        <f t="shared" si="2"/>
        <v>0</v>
      </c>
    </row>
    <row r="56" spans="1:8" ht="15.75" customHeight="1" x14ac:dyDescent="0.2">
      <c r="A56" s="16" t="s">
        <v>63</v>
      </c>
      <c r="B56" s="40" t="s">
        <v>162</v>
      </c>
      <c r="C56" s="17" t="s">
        <v>48</v>
      </c>
      <c r="D56" s="41" t="s">
        <v>98</v>
      </c>
      <c r="E56" s="42">
        <v>4</v>
      </c>
      <c r="F56" s="19">
        <f>IF(Master_Results!$D$56="","",IF(D56=Master_Results!$D$56,1,0))</f>
        <v>0</v>
      </c>
      <c r="G56" s="19">
        <f t="shared" si="2"/>
        <v>0</v>
      </c>
    </row>
    <row r="57" spans="1:8" ht="15.75" customHeight="1" x14ac:dyDescent="0.2">
      <c r="A57" s="16" t="s">
        <v>63</v>
      </c>
      <c r="B57" s="40" t="s">
        <v>163</v>
      </c>
      <c r="C57" s="17" t="s">
        <v>49</v>
      </c>
      <c r="D57" s="41" t="s">
        <v>108</v>
      </c>
      <c r="E57" s="42">
        <v>4</v>
      </c>
      <c r="F57" s="19">
        <f>IF(Master_Results!$D$57="","",IF(D57=Master_Results!$D$57,1,0))</f>
        <v>0</v>
      </c>
      <c r="G57" s="19">
        <f t="shared" si="2"/>
        <v>0</v>
      </c>
    </row>
    <row r="58" spans="1:8" ht="15.75" customHeight="1" x14ac:dyDescent="0.2">
      <c r="A58" s="16" t="s">
        <v>63</v>
      </c>
      <c r="B58" s="40" t="s">
        <v>164</v>
      </c>
      <c r="C58" s="17" t="s">
        <v>50</v>
      </c>
      <c r="D58" s="41" t="s">
        <v>110</v>
      </c>
      <c r="E58" s="42">
        <v>4</v>
      </c>
      <c r="F58" s="19">
        <f>IF(Master_Results!$D$58="","",IF(D58=Master_Results!$D$58,1,0))</f>
        <v>1</v>
      </c>
      <c r="G58" s="19">
        <f t="shared" si="2"/>
        <v>4</v>
      </c>
    </row>
    <row r="59" spans="1:8" ht="15.75" customHeight="1" x14ac:dyDescent="0.2">
      <c r="A59" s="16" t="s">
        <v>63</v>
      </c>
      <c r="B59" s="40" t="s">
        <v>165</v>
      </c>
      <c r="C59" s="17" t="s">
        <v>51</v>
      </c>
      <c r="D59" s="41" t="s">
        <v>124</v>
      </c>
      <c r="E59" s="42">
        <v>4</v>
      </c>
      <c r="F59" s="19">
        <f>IF(Master_Results!$D$59="","",IF(D59=Master_Results!$D$59,1,0))</f>
        <v>1</v>
      </c>
      <c r="G59" s="19">
        <f t="shared" si="2"/>
        <v>4</v>
      </c>
    </row>
    <row r="60" spans="1:8" ht="15.75" customHeight="1" x14ac:dyDescent="0.2">
      <c r="A60" s="16" t="s">
        <v>63</v>
      </c>
      <c r="B60" s="40" t="s">
        <v>166</v>
      </c>
      <c r="C60" s="17" t="s">
        <v>52</v>
      </c>
      <c r="D60" s="41" t="s">
        <v>126</v>
      </c>
      <c r="E60" s="42">
        <v>4</v>
      </c>
      <c r="F60" s="19">
        <f>IF(Master_Results!$D$60="","",IF(D60=Master_Results!$D$60,1,0))</f>
        <v>1</v>
      </c>
      <c r="G60" s="19">
        <f t="shared" si="2"/>
        <v>4</v>
      </c>
    </row>
    <row r="61" spans="1:8" ht="15.75" customHeight="1" x14ac:dyDescent="0.2">
      <c r="A61" s="16" t="s">
        <v>63</v>
      </c>
      <c r="B61" s="40" t="s">
        <v>167</v>
      </c>
      <c r="C61" s="17" t="s">
        <v>53</v>
      </c>
      <c r="D61" s="41" t="s">
        <v>96</v>
      </c>
      <c r="E61" s="42">
        <v>4</v>
      </c>
      <c r="F61" s="19">
        <f>IF(Master_Results!$D$61="","",IF(D61=Master_Results!$D$61,1,0))</f>
        <v>0</v>
      </c>
      <c r="G61" s="19">
        <f t="shared" si="2"/>
        <v>0</v>
      </c>
    </row>
    <row r="62" spans="1:8" ht="19.5" customHeight="1" x14ac:dyDescent="0.2">
      <c r="A62" s="76" t="s">
        <v>168</v>
      </c>
      <c r="B62" s="69"/>
      <c r="C62" s="69"/>
      <c r="D62" s="69"/>
      <c r="E62" s="69"/>
      <c r="F62" s="69"/>
      <c r="G62" s="69"/>
      <c r="H62" s="71"/>
    </row>
    <row r="63" spans="1:8" ht="15.75" customHeight="1" x14ac:dyDescent="0.2">
      <c r="A63" s="20" t="s">
        <v>65</v>
      </c>
      <c r="B63" s="43" t="s">
        <v>169</v>
      </c>
      <c r="C63" s="21" t="s">
        <v>46</v>
      </c>
      <c r="D63" s="44" t="s">
        <v>78</v>
      </c>
      <c r="E63" s="45">
        <v>8</v>
      </c>
      <c r="F63" s="23">
        <f>IF(Master_Results!$D$63="","",IF(D63=Master_Results!$D$63,1,0))</f>
        <v>0</v>
      </c>
      <c r="G63" s="23">
        <f>IF(F63="","",E63*F63)</f>
        <v>0</v>
      </c>
    </row>
    <row r="64" spans="1:8" ht="15.75" customHeight="1" x14ac:dyDescent="0.2">
      <c r="A64" s="20" t="s">
        <v>65</v>
      </c>
      <c r="B64" s="43" t="s">
        <v>170</v>
      </c>
      <c r="C64" s="21" t="s">
        <v>47</v>
      </c>
      <c r="D64" s="44" t="s">
        <v>108</v>
      </c>
      <c r="E64" s="45">
        <v>8</v>
      </c>
      <c r="F64" s="23">
        <f>IF(Master_Results!$D$64="","",IF(D64=Master_Results!$D$64,1,0))</f>
        <v>0</v>
      </c>
      <c r="G64" s="23">
        <f>IF(F64="","",E64*F64)</f>
        <v>0</v>
      </c>
    </row>
    <row r="65" spans="1:8" ht="15.75" customHeight="1" x14ac:dyDescent="0.2">
      <c r="A65" s="20" t="s">
        <v>65</v>
      </c>
      <c r="B65" s="43" t="s">
        <v>171</v>
      </c>
      <c r="C65" s="21" t="s">
        <v>48</v>
      </c>
      <c r="D65" s="44" t="s">
        <v>110</v>
      </c>
      <c r="E65" s="45">
        <v>8</v>
      </c>
      <c r="F65" s="23">
        <f>IF(Master_Results!$D$65="","",IF(D65=Master_Results!$D$65,1,0))</f>
        <v>1</v>
      </c>
      <c r="G65" s="23">
        <f>IF(F65="","",E65*F65)</f>
        <v>8</v>
      </c>
    </row>
    <row r="66" spans="1:8" ht="15.75" customHeight="1" x14ac:dyDescent="0.2">
      <c r="A66" s="20" t="s">
        <v>65</v>
      </c>
      <c r="B66" s="43" t="s">
        <v>172</v>
      </c>
      <c r="C66" s="21" t="s">
        <v>49</v>
      </c>
      <c r="D66" s="44" t="s">
        <v>96</v>
      </c>
      <c r="E66" s="45">
        <v>8</v>
      </c>
      <c r="F66" s="23">
        <f>IF(Master_Results!$D$66="","",IF(D66=Master_Results!$D$66,1,0))</f>
        <v>0</v>
      </c>
      <c r="G66" s="23">
        <f>IF(F66="","",E66*F66)</f>
        <v>0</v>
      </c>
    </row>
    <row r="67" spans="1:8" ht="19.5" customHeight="1" x14ac:dyDescent="0.2">
      <c r="A67" s="73" t="s">
        <v>173</v>
      </c>
      <c r="B67" s="69"/>
      <c r="C67" s="69"/>
      <c r="D67" s="69"/>
      <c r="E67" s="69"/>
      <c r="F67" s="69"/>
      <c r="G67" s="69"/>
      <c r="H67" s="71"/>
    </row>
    <row r="68" spans="1:8" ht="15.75" customHeight="1" x14ac:dyDescent="0.2">
      <c r="A68" s="24" t="s">
        <v>67</v>
      </c>
      <c r="B68" s="46" t="s">
        <v>174</v>
      </c>
      <c r="C68" s="25" t="s">
        <v>46</v>
      </c>
      <c r="D68" s="47" t="s">
        <v>78</v>
      </c>
      <c r="E68" s="48">
        <v>16</v>
      </c>
      <c r="F68" s="27" t="str">
        <f>IF(Master_Results!$D$68="","",IF(D68=Master_Results!$D$68,1,0))</f>
        <v/>
      </c>
      <c r="G68" s="27" t="str">
        <f>IF(F68="","",E68*F68)</f>
        <v/>
      </c>
    </row>
    <row r="69" spans="1:8" ht="15.75" customHeight="1" x14ac:dyDescent="0.2">
      <c r="A69" s="24" t="s">
        <v>67</v>
      </c>
      <c r="B69" s="46" t="s">
        <v>175</v>
      </c>
      <c r="C69" s="25" t="s">
        <v>47</v>
      </c>
      <c r="D69" s="47" t="s">
        <v>96</v>
      </c>
      <c r="E69" s="48">
        <v>16</v>
      </c>
      <c r="F69" s="27" t="str">
        <f>IF(Master_Results!$D$69="","",IF(D69=Master_Results!$D$69,1,0))</f>
        <v/>
      </c>
      <c r="G69" s="27" t="str">
        <f>IF(F69="","",E69*F69)</f>
        <v/>
      </c>
    </row>
    <row r="70" spans="1:8" ht="19.5" customHeight="1" x14ac:dyDescent="0.2">
      <c r="A70" s="72" t="s">
        <v>176</v>
      </c>
      <c r="B70" s="69"/>
      <c r="C70" s="69"/>
      <c r="D70" s="69"/>
      <c r="E70" s="69"/>
      <c r="F70" s="69"/>
      <c r="G70" s="69"/>
      <c r="H70" s="71"/>
    </row>
    <row r="71" spans="1:8" ht="15.75" customHeight="1" x14ac:dyDescent="0.2">
      <c r="A71" s="28" t="s">
        <v>69</v>
      </c>
      <c r="B71" s="49" t="s">
        <v>177</v>
      </c>
      <c r="C71" s="29" t="s">
        <v>46</v>
      </c>
      <c r="D71" s="50" t="s">
        <v>78</v>
      </c>
      <c r="E71" s="51">
        <v>32</v>
      </c>
      <c r="F71" s="31" t="str">
        <f>IF(Master_Results!$D$71="","",IF(D71=Master_Results!$D$71,1,0))</f>
        <v/>
      </c>
      <c r="G71" s="31" t="str">
        <f>IF(F71="","",E71*F71)</f>
        <v/>
      </c>
    </row>
    <row r="73" spans="1:8" ht="25.5" customHeight="1" x14ac:dyDescent="0.2">
      <c r="A73" s="77" t="s">
        <v>178</v>
      </c>
      <c r="B73" s="69"/>
      <c r="C73" s="69"/>
      <c r="D73" s="69"/>
      <c r="E73" s="71"/>
      <c r="F73" s="52" t="s">
        <v>179</v>
      </c>
      <c r="G73" s="53">
        <f>SUMIF(F3:F71,1,E3:E71)</f>
        <v>67</v>
      </c>
      <c r="H73" s="54">
        <f>SUMIF(F3:F71,"",E3:E71)</f>
        <v>64</v>
      </c>
    </row>
  </sheetData>
  <mergeCells count="8">
    <mergeCell ref="A73:E73"/>
    <mergeCell ref="A36:H36"/>
    <mergeCell ref="A1:H1"/>
    <mergeCell ref="A70:H70"/>
    <mergeCell ref="A67:H67"/>
    <mergeCell ref="A62:H62"/>
    <mergeCell ref="A3:H3"/>
    <mergeCell ref="A53:H53"/>
  </mergeCells>
  <conditionalFormatting sqref="A3:G71">
    <cfRule type="expression" dxfId="4" priority="1">
      <formula>$F3=1</formula>
    </cfRule>
    <cfRule type="expression" dxfId="3" priority="2">
      <formula>$F3=0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1"/>
  <sheetViews>
    <sheetView tabSelected="1" zoomScaleNormal="100" workbookViewId="0">
      <pane ySplit="2" topLeftCell="A37" activePane="bottomLeft" state="frozen"/>
      <selection pane="bottomLeft" activeCell="D64" sqref="D64"/>
    </sheetView>
  </sheetViews>
  <sheetFormatPr baseColWidth="10" defaultColWidth="8.6640625" defaultRowHeight="15" x14ac:dyDescent="0.2"/>
  <cols>
    <col min="1" max="1" width="16" customWidth="1"/>
    <col min="2" max="2" width="11" customWidth="1"/>
    <col min="3" max="3" width="36" customWidth="1"/>
    <col min="4" max="4" width="22" customWidth="1"/>
  </cols>
  <sheetData>
    <row r="1" spans="1:4" ht="31.5" customHeight="1" x14ac:dyDescent="0.2">
      <c r="A1" s="78" t="s">
        <v>198</v>
      </c>
      <c r="B1" s="69"/>
      <c r="C1" s="69"/>
      <c r="D1" s="69"/>
    </row>
    <row r="2" spans="1:4" ht="19.5" customHeight="1" x14ac:dyDescent="0.2">
      <c r="A2" s="32" t="s">
        <v>1</v>
      </c>
      <c r="B2" s="32" t="s">
        <v>71</v>
      </c>
      <c r="C2" s="32" t="s">
        <v>2</v>
      </c>
      <c r="D2" s="32" t="s">
        <v>3</v>
      </c>
    </row>
    <row r="3" spans="1:4" ht="18.75" customHeight="1" x14ac:dyDescent="0.2">
      <c r="A3" s="74" t="s">
        <v>10</v>
      </c>
      <c r="B3" s="69"/>
      <c r="C3" s="69"/>
      <c r="D3" s="71"/>
    </row>
    <row r="4" spans="1:4" ht="15.75" customHeight="1" x14ac:dyDescent="0.2">
      <c r="A4" s="36" t="s">
        <v>11</v>
      </c>
      <c r="B4" s="36" t="s">
        <v>77</v>
      </c>
      <c r="C4" s="9" t="s">
        <v>12</v>
      </c>
      <c r="D4" s="36" t="s">
        <v>78</v>
      </c>
    </row>
    <row r="5" spans="1:4" ht="15.75" customHeight="1" x14ac:dyDescent="0.2">
      <c r="A5" s="36" t="s">
        <v>11</v>
      </c>
      <c r="B5" s="36" t="s">
        <v>79</v>
      </c>
      <c r="C5" s="9" t="s">
        <v>13</v>
      </c>
      <c r="D5" s="55" t="s">
        <v>80</v>
      </c>
    </row>
    <row r="6" spans="1:4" ht="15.75" customHeight="1" x14ac:dyDescent="0.2">
      <c r="A6" s="36" t="s">
        <v>11</v>
      </c>
      <c r="B6" s="36" t="s">
        <v>81</v>
      </c>
      <c r="C6" s="9" t="s">
        <v>14</v>
      </c>
      <c r="D6" s="36" t="s">
        <v>82</v>
      </c>
    </row>
    <row r="7" spans="1:4" ht="15.75" customHeight="1" x14ac:dyDescent="0.2">
      <c r="A7" s="36" t="s">
        <v>11</v>
      </c>
      <c r="B7" s="36" t="s">
        <v>83</v>
      </c>
      <c r="C7" s="9" t="s">
        <v>15</v>
      </c>
      <c r="D7" s="36" t="s">
        <v>84</v>
      </c>
    </row>
    <row r="8" spans="1:4" ht="15.75" customHeight="1" x14ac:dyDescent="0.2">
      <c r="A8" s="36" t="s">
        <v>11</v>
      </c>
      <c r="B8" s="36" t="s">
        <v>85</v>
      </c>
      <c r="C8" s="9" t="s">
        <v>16</v>
      </c>
      <c r="D8" s="36" t="s">
        <v>181</v>
      </c>
    </row>
    <row r="9" spans="1:4" ht="15.75" customHeight="1" x14ac:dyDescent="0.2">
      <c r="A9" s="36" t="s">
        <v>11</v>
      </c>
      <c r="B9" s="36" t="s">
        <v>87</v>
      </c>
      <c r="C9" s="9" t="s">
        <v>17</v>
      </c>
      <c r="D9" s="36" t="s">
        <v>88</v>
      </c>
    </row>
    <row r="10" spans="1:4" ht="15.75" customHeight="1" x14ac:dyDescent="0.2">
      <c r="A10" s="36" t="s">
        <v>11</v>
      </c>
      <c r="B10" s="36" t="s">
        <v>89</v>
      </c>
      <c r="C10" s="9" t="s">
        <v>18</v>
      </c>
      <c r="D10" s="36" t="s">
        <v>186</v>
      </c>
    </row>
    <row r="11" spans="1:4" ht="15.75" customHeight="1" x14ac:dyDescent="0.2">
      <c r="A11" s="36" t="s">
        <v>11</v>
      </c>
      <c r="B11" s="36" t="s">
        <v>91</v>
      </c>
      <c r="C11" s="9" t="s">
        <v>19</v>
      </c>
      <c r="D11" s="36" t="s">
        <v>92</v>
      </c>
    </row>
    <row r="12" spans="1:4" ht="15.75" customHeight="1" x14ac:dyDescent="0.2">
      <c r="A12" s="36" t="s">
        <v>11</v>
      </c>
      <c r="B12" s="36" t="s">
        <v>93</v>
      </c>
      <c r="C12" s="9" t="s">
        <v>20</v>
      </c>
      <c r="D12" s="36" t="s">
        <v>94</v>
      </c>
    </row>
    <row r="13" spans="1:4" ht="15.75" customHeight="1" x14ac:dyDescent="0.2">
      <c r="A13" s="36" t="s">
        <v>11</v>
      </c>
      <c r="B13" s="36" t="s">
        <v>95</v>
      </c>
      <c r="C13" s="9" t="s">
        <v>21</v>
      </c>
      <c r="D13" s="36" t="s">
        <v>96</v>
      </c>
    </row>
    <row r="14" spans="1:4" ht="15.75" customHeight="1" x14ac:dyDescent="0.2">
      <c r="A14" s="36" t="s">
        <v>11</v>
      </c>
      <c r="B14" s="36" t="s">
        <v>97</v>
      </c>
      <c r="C14" s="9" t="s">
        <v>22</v>
      </c>
      <c r="D14" s="36" t="s">
        <v>98</v>
      </c>
    </row>
    <row r="15" spans="1:4" ht="15.75" customHeight="1" x14ac:dyDescent="0.2">
      <c r="A15" s="36" t="s">
        <v>11</v>
      </c>
      <c r="B15" s="36" t="s">
        <v>99</v>
      </c>
      <c r="C15" s="9" t="s">
        <v>23</v>
      </c>
      <c r="D15" s="55" t="s">
        <v>100</v>
      </c>
    </row>
    <row r="16" spans="1:4" ht="15.75" customHeight="1" x14ac:dyDescent="0.2">
      <c r="A16" s="36" t="s">
        <v>11</v>
      </c>
      <c r="B16" s="36" t="s">
        <v>101</v>
      </c>
      <c r="C16" s="9" t="s">
        <v>24</v>
      </c>
      <c r="D16" s="36" t="s">
        <v>102</v>
      </c>
    </row>
    <row r="17" spans="1:4" ht="15.75" customHeight="1" x14ac:dyDescent="0.2">
      <c r="A17" s="36" t="s">
        <v>11</v>
      </c>
      <c r="B17" s="36" t="s">
        <v>103</v>
      </c>
      <c r="C17" s="9" t="s">
        <v>25</v>
      </c>
      <c r="D17" s="36" t="s">
        <v>104</v>
      </c>
    </row>
    <row r="18" spans="1:4" ht="15.75" customHeight="1" x14ac:dyDescent="0.2">
      <c r="A18" s="36" t="s">
        <v>11</v>
      </c>
      <c r="B18" s="36" t="s">
        <v>105</v>
      </c>
      <c r="C18" s="9" t="s">
        <v>26</v>
      </c>
      <c r="D18" s="36" t="s">
        <v>183</v>
      </c>
    </row>
    <row r="19" spans="1:4" ht="15.75" customHeight="1" x14ac:dyDescent="0.2">
      <c r="A19" s="36" t="s">
        <v>11</v>
      </c>
      <c r="B19" s="36" t="s">
        <v>107</v>
      </c>
      <c r="C19" s="9" t="s">
        <v>27</v>
      </c>
      <c r="D19" s="36" t="s">
        <v>108</v>
      </c>
    </row>
    <row r="20" spans="1:4" ht="15.75" customHeight="1" x14ac:dyDescent="0.2">
      <c r="A20" s="36" t="s">
        <v>11</v>
      </c>
      <c r="B20" s="36" t="s">
        <v>109</v>
      </c>
      <c r="C20" s="9" t="s">
        <v>28</v>
      </c>
      <c r="D20" s="36" t="s">
        <v>110</v>
      </c>
    </row>
    <row r="21" spans="1:4" ht="15.75" customHeight="1" x14ac:dyDescent="0.2">
      <c r="A21" s="36" t="s">
        <v>11</v>
      </c>
      <c r="B21" s="36" t="s">
        <v>111</v>
      </c>
      <c r="C21" s="9" t="s">
        <v>29</v>
      </c>
      <c r="D21" s="36" t="s">
        <v>199</v>
      </c>
    </row>
    <row r="22" spans="1:4" ht="15.75" customHeight="1" x14ac:dyDescent="0.2">
      <c r="A22" s="36" t="s">
        <v>11</v>
      </c>
      <c r="B22" s="36" t="s">
        <v>113</v>
      </c>
      <c r="C22" s="9" t="s">
        <v>30</v>
      </c>
      <c r="D22" s="36" t="s">
        <v>195</v>
      </c>
    </row>
    <row r="23" spans="1:4" ht="15.75" customHeight="1" x14ac:dyDescent="0.2">
      <c r="A23" s="36" t="s">
        <v>11</v>
      </c>
      <c r="B23" s="36" t="s">
        <v>115</v>
      </c>
      <c r="C23" s="9" t="s">
        <v>31</v>
      </c>
      <c r="D23" s="36" t="s">
        <v>116</v>
      </c>
    </row>
    <row r="24" spans="1:4" ht="15.75" customHeight="1" x14ac:dyDescent="0.2">
      <c r="A24" s="36" t="s">
        <v>11</v>
      </c>
      <c r="B24" s="36" t="s">
        <v>117</v>
      </c>
      <c r="C24" s="9" t="s">
        <v>32</v>
      </c>
      <c r="D24" s="36" t="s">
        <v>200</v>
      </c>
    </row>
    <row r="25" spans="1:4" ht="15.75" customHeight="1" x14ac:dyDescent="0.2">
      <c r="A25" s="36" t="s">
        <v>11</v>
      </c>
      <c r="B25" s="36" t="s">
        <v>119</v>
      </c>
      <c r="C25" s="9" t="s">
        <v>33</v>
      </c>
      <c r="D25" s="36" t="s">
        <v>120</v>
      </c>
    </row>
    <row r="26" spans="1:4" ht="15.75" customHeight="1" x14ac:dyDescent="0.2">
      <c r="A26" s="36" t="s">
        <v>11</v>
      </c>
      <c r="B26" s="36" t="s">
        <v>121</v>
      </c>
      <c r="C26" s="9" t="s">
        <v>34</v>
      </c>
      <c r="D26" s="36" t="s">
        <v>122</v>
      </c>
    </row>
    <row r="27" spans="1:4" ht="15.75" customHeight="1" x14ac:dyDescent="0.2">
      <c r="A27" s="36" t="s">
        <v>11</v>
      </c>
      <c r="B27" s="36" t="s">
        <v>123</v>
      </c>
      <c r="C27" s="9" t="s">
        <v>35</v>
      </c>
      <c r="D27" s="36" t="s">
        <v>124</v>
      </c>
    </row>
    <row r="28" spans="1:4" ht="15.75" customHeight="1" x14ac:dyDescent="0.2">
      <c r="A28" s="36" t="s">
        <v>11</v>
      </c>
      <c r="B28" s="36" t="s">
        <v>125</v>
      </c>
      <c r="C28" s="9" t="s">
        <v>36</v>
      </c>
      <c r="D28" s="36" t="s">
        <v>126</v>
      </c>
    </row>
    <row r="29" spans="1:4" ht="15.75" customHeight="1" x14ac:dyDescent="0.2">
      <c r="A29" s="36" t="s">
        <v>11</v>
      </c>
      <c r="B29" s="36" t="s">
        <v>127</v>
      </c>
      <c r="C29" s="9" t="s">
        <v>37</v>
      </c>
      <c r="D29" s="36" t="s">
        <v>192</v>
      </c>
    </row>
    <row r="30" spans="1:4" ht="15.75" customHeight="1" x14ac:dyDescent="0.2">
      <c r="A30" s="36" t="s">
        <v>11</v>
      </c>
      <c r="B30" s="36" t="s">
        <v>129</v>
      </c>
      <c r="C30" s="9" t="s">
        <v>38</v>
      </c>
      <c r="D30" s="36" t="s">
        <v>130</v>
      </c>
    </row>
    <row r="31" spans="1:4" ht="15.75" customHeight="1" x14ac:dyDescent="0.2">
      <c r="A31" s="36" t="s">
        <v>11</v>
      </c>
      <c r="B31" s="36" t="s">
        <v>131</v>
      </c>
      <c r="C31" s="9" t="s">
        <v>39</v>
      </c>
      <c r="D31" s="36" t="s">
        <v>132</v>
      </c>
    </row>
    <row r="32" spans="1:4" ht="15.75" customHeight="1" x14ac:dyDescent="0.2">
      <c r="A32" s="36" t="s">
        <v>11</v>
      </c>
      <c r="B32" s="36" t="s">
        <v>133</v>
      </c>
      <c r="C32" s="9" t="s">
        <v>40</v>
      </c>
      <c r="D32" s="36" t="s">
        <v>134</v>
      </c>
    </row>
    <row r="33" spans="1:4" ht="15.75" customHeight="1" x14ac:dyDescent="0.2">
      <c r="A33" s="36" t="s">
        <v>11</v>
      </c>
      <c r="B33" s="36" t="s">
        <v>135</v>
      </c>
      <c r="C33" s="9" t="s">
        <v>41</v>
      </c>
      <c r="D33" s="36" t="s">
        <v>136</v>
      </c>
    </row>
    <row r="34" spans="1:4" ht="15.75" customHeight="1" x14ac:dyDescent="0.2">
      <c r="A34" s="36" t="s">
        <v>11</v>
      </c>
      <c r="B34" s="36" t="s">
        <v>137</v>
      </c>
      <c r="C34" s="9" t="s">
        <v>42</v>
      </c>
      <c r="D34" s="36" t="s">
        <v>138</v>
      </c>
    </row>
    <row r="35" spans="1:4" ht="15.75" customHeight="1" x14ac:dyDescent="0.2">
      <c r="A35" s="36" t="s">
        <v>11</v>
      </c>
      <c r="B35" s="36" t="s">
        <v>139</v>
      </c>
      <c r="C35" s="9" t="s">
        <v>43</v>
      </c>
      <c r="D35" s="36" t="s">
        <v>140</v>
      </c>
    </row>
    <row r="36" spans="1:4" ht="18.75" customHeight="1" x14ac:dyDescent="0.2">
      <c r="A36" s="70" t="s">
        <v>44</v>
      </c>
      <c r="B36" s="69"/>
      <c r="C36" s="69"/>
      <c r="D36" s="71"/>
    </row>
    <row r="37" spans="1:4" ht="15.75" customHeight="1" x14ac:dyDescent="0.2">
      <c r="A37" s="39" t="s">
        <v>45</v>
      </c>
      <c r="B37" s="39" t="s">
        <v>142</v>
      </c>
      <c r="C37" s="13" t="s">
        <v>46</v>
      </c>
      <c r="D37" s="39" t="s">
        <v>78</v>
      </c>
    </row>
    <row r="38" spans="1:4" ht="15.75" customHeight="1" x14ac:dyDescent="0.2">
      <c r="A38" s="39" t="s">
        <v>45</v>
      </c>
      <c r="B38" s="39" t="s">
        <v>143</v>
      </c>
      <c r="C38" s="13" t="s">
        <v>47</v>
      </c>
      <c r="D38" s="39" t="s">
        <v>82</v>
      </c>
    </row>
    <row r="39" spans="1:4" ht="15.75" customHeight="1" x14ac:dyDescent="0.2">
      <c r="A39" s="39" t="s">
        <v>45</v>
      </c>
      <c r="B39" s="39" t="s">
        <v>144</v>
      </c>
      <c r="C39" s="13" t="s">
        <v>48</v>
      </c>
      <c r="D39" s="39" t="s">
        <v>88</v>
      </c>
    </row>
    <row r="40" spans="1:4" ht="15.75" customHeight="1" x14ac:dyDescent="0.2">
      <c r="A40" s="39" t="s">
        <v>45</v>
      </c>
      <c r="B40" s="39" t="s">
        <v>146</v>
      </c>
      <c r="C40" s="13" t="s">
        <v>49</v>
      </c>
      <c r="D40" s="39" t="s">
        <v>92</v>
      </c>
    </row>
    <row r="41" spans="1:4" ht="15.75" customHeight="1" x14ac:dyDescent="0.2">
      <c r="A41" s="39" t="s">
        <v>45</v>
      </c>
      <c r="B41" s="39" t="s">
        <v>147</v>
      </c>
      <c r="C41" s="13" t="s">
        <v>50</v>
      </c>
      <c r="D41" s="39" t="s">
        <v>96</v>
      </c>
    </row>
    <row r="42" spans="1:4" ht="15.75" customHeight="1" x14ac:dyDescent="0.2">
      <c r="A42" s="39" t="s">
        <v>45</v>
      </c>
      <c r="B42" s="39" t="s">
        <v>148</v>
      </c>
      <c r="C42" s="13" t="s">
        <v>51</v>
      </c>
      <c r="D42" s="39" t="s">
        <v>100</v>
      </c>
    </row>
    <row r="43" spans="1:4" ht="15.75" customHeight="1" x14ac:dyDescent="0.2">
      <c r="A43" s="39" t="s">
        <v>45</v>
      </c>
      <c r="B43" s="39" t="s">
        <v>149</v>
      </c>
      <c r="C43" s="13" t="s">
        <v>52</v>
      </c>
      <c r="D43" s="39" t="s">
        <v>104</v>
      </c>
    </row>
    <row r="44" spans="1:4" ht="15.75" customHeight="1" x14ac:dyDescent="0.2">
      <c r="A44" s="39" t="s">
        <v>45</v>
      </c>
      <c r="B44" s="39" t="s">
        <v>150</v>
      </c>
      <c r="C44" s="13" t="s">
        <v>53</v>
      </c>
      <c r="D44" s="39" t="s">
        <v>108</v>
      </c>
    </row>
    <row r="45" spans="1:4" ht="15.75" customHeight="1" x14ac:dyDescent="0.2">
      <c r="A45" s="39" t="s">
        <v>45</v>
      </c>
      <c r="B45" s="39" t="s">
        <v>151</v>
      </c>
      <c r="C45" s="13" t="s">
        <v>54</v>
      </c>
      <c r="D45" s="39" t="s">
        <v>110</v>
      </c>
    </row>
    <row r="46" spans="1:4" ht="15.75" customHeight="1" x14ac:dyDescent="0.2">
      <c r="A46" s="39" t="s">
        <v>45</v>
      </c>
      <c r="B46" s="39" t="s">
        <v>152</v>
      </c>
      <c r="C46" s="13" t="s">
        <v>55</v>
      </c>
      <c r="D46" s="39" t="s">
        <v>116</v>
      </c>
    </row>
    <row r="47" spans="1:4" ht="15.75" customHeight="1" x14ac:dyDescent="0.2">
      <c r="A47" s="39" t="s">
        <v>45</v>
      </c>
      <c r="B47" s="39" t="s">
        <v>153</v>
      </c>
      <c r="C47" s="13" t="s">
        <v>56</v>
      </c>
      <c r="D47" s="39" t="s">
        <v>200</v>
      </c>
    </row>
    <row r="48" spans="1:4" ht="15.75" customHeight="1" x14ac:dyDescent="0.2">
      <c r="A48" s="39" t="s">
        <v>45</v>
      </c>
      <c r="B48" s="39" t="s">
        <v>154</v>
      </c>
      <c r="C48" s="13" t="s">
        <v>57</v>
      </c>
      <c r="D48" s="39" t="s">
        <v>124</v>
      </c>
    </row>
    <row r="49" spans="1:4" ht="15.75" customHeight="1" x14ac:dyDescent="0.2">
      <c r="A49" s="39" t="s">
        <v>45</v>
      </c>
      <c r="B49" s="39" t="s">
        <v>155</v>
      </c>
      <c r="C49" s="13" t="s">
        <v>58</v>
      </c>
      <c r="D49" s="39" t="s">
        <v>126</v>
      </c>
    </row>
    <row r="50" spans="1:4" ht="15.75" customHeight="1" x14ac:dyDescent="0.2">
      <c r="A50" s="39" t="s">
        <v>45</v>
      </c>
      <c r="B50" s="39" t="s">
        <v>156</v>
      </c>
      <c r="C50" s="13" t="s">
        <v>59</v>
      </c>
      <c r="D50" s="39" t="s">
        <v>132</v>
      </c>
    </row>
    <row r="51" spans="1:4" ht="15.75" customHeight="1" x14ac:dyDescent="0.2">
      <c r="A51" s="39" t="s">
        <v>45</v>
      </c>
      <c r="B51" s="39" t="s">
        <v>157</v>
      </c>
      <c r="C51" s="13" t="s">
        <v>60</v>
      </c>
      <c r="D51" s="39" t="s">
        <v>134</v>
      </c>
    </row>
    <row r="52" spans="1:4" ht="15.75" customHeight="1" x14ac:dyDescent="0.2">
      <c r="A52" s="39" t="s">
        <v>45</v>
      </c>
      <c r="B52" s="39" t="s">
        <v>158</v>
      </c>
      <c r="C52" s="13" t="s">
        <v>61</v>
      </c>
      <c r="D52" s="39" t="s">
        <v>140</v>
      </c>
    </row>
    <row r="53" spans="1:4" ht="18.75" customHeight="1" x14ac:dyDescent="0.2">
      <c r="A53" s="75" t="s">
        <v>62</v>
      </c>
      <c r="B53" s="69"/>
      <c r="C53" s="69"/>
      <c r="D53" s="71"/>
    </row>
    <row r="54" spans="1:4" ht="15.75" customHeight="1" x14ac:dyDescent="0.2">
      <c r="A54" s="42" t="s">
        <v>63</v>
      </c>
      <c r="B54" s="42" t="s">
        <v>160</v>
      </c>
      <c r="C54" s="17" t="s">
        <v>46</v>
      </c>
      <c r="D54" s="42" t="s">
        <v>78</v>
      </c>
    </row>
    <row r="55" spans="1:4" ht="15.75" customHeight="1" x14ac:dyDescent="0.2">
      <c r="A55" s="42" t="s">
        <v>63</v>
      </c>
      <c r="B55" s="42" t="s">
        <v>161</v>
      </c>
      <c r="C55" s="17" t="s">
        <v>47</v>
      </c>
      <c r="D55" s="42" t="s">
        <v>92</v>
      </c>
    </row>
    <row r="56" spans="1:4" ht="15.75" customHeight="1" x14ac:dyDescent="0.2">
      <c r="A56" s="42" t="s">
        <v>63</v>
      </c>
      <c r="B56" s="42" t="s">
        <v>162</v>
      </c>
      <c r="C56" s="17" t="s">
        <v>48</v>
      </c>
      <c r="D56" s="42" t="s">
        <v>96</v>
      </c>
    </row>
    <row r="57" spans="1:4" ht="15.75" customHeight="1" x14ac:dyDescent="0.2">
      <c r="A57" s="42" t="s">
        <v>63</v>
      </c>
      <c r="B57" s="42" t="s">
        <v>163</v>
      </c>
      <c r="C57" s="17" t="s">
        <v>49</v>
      </c>
      <c r="D57" s="42" t="s">
        <v>104</v>
      </c>
    </row>
    <row r="58" spans="1:4" ht="15.75" customHeight="1" x14ac:dyDescent="0.2">
      <c r="A58" s="42" t="s">
        <v>63</v>
      </c>
      <c r="B58" s="42" t="s">
        <v>164</v>
      </c>
      <c r="C58" s="17" t="s">
        <v>50</v>
      </c>
      <c r="D58" s="42" t="s">
        <v>110</v>
      </c>
    </row>
    <row r="59" spans="1:4" ht="15.75" customHeight="1" x14ac:dyDescent="0.2">
      <c r="A59" s="42" t="s">
        <v>63</v>
      </c>
      <c r="B59" s="42" t="s">
        <v>165</v>
      </c>
      <c r="C59" s="17" t="s">
        <v>51</v>
      </c>
      <c r="D59" s="42" t="s">
        <v>124</v>
      </c>
    </row>
    <row r="60" spans="1:4" ht="15.75" customHeight="1" x14ac:dyDescent="0.2">
      <c r="A60" s="42" t="s">
        <v>63</v>
      </c>
      <c r="B60" s="42" t="s">
        <v>166</v>
      </c>
      <c r="C60" s="17" t="s">
        <v>52</v>
      </c>
      <c r="D60" s="42" t="s">
        <v>126</v>
      </c>
    </row>
    <row r="61" spans="1:4" ht="15.75" customHeight="1" x14ac:dyDescent="0.2">
      <c r="A61" s="42" t="s">
        <v>63</v>
      </c>
      <c r="B61" s="42" t="s">
        <v>167</v>
      </c>
      <c r="C61" s="17" t="s">
        <v>53</v>
      </c>
      <c r="D61" s="42" t="s">
        <v>134</v>
      </c>
    </row>
    <row r="62" spans="1:4" ht="18.75" customHeight="1" x14ac:dyDescent="0.2">
      <c r="A62" s="76" t="s">
        <v>64</v>
      </c>
      <c r="B62" s="69"/>
      <c r="C62" s="69"/>
      <c r="D62" s="71"/>
    </row>
    <row r="63" spans="1:4" ht="15.75" customHeight="1" x14ac:dyDescent="0.2">
      <c r="A63" s="45" t="s">
        <v>65</v>
      </c>
      <c r="B63" s="45" t="s">
        <v>169</v>
      </c>
      <c r="C63" s="21" t="s">
        <v>46</v>
      </c>
      <c r="D63" s="45" t="s">
        <v>92</v>
      </c>
    </row>
    <row r="64" spans="1:4" ht="15.75" customHeight="1" x14ac:dyDescent="0.2">
      <c r="A64" s="45" t="s">
        <v>65</v>
      </c>
      <c r="B64" s="45" t="s">
        <v>170</v>
      </c>
      <c r="C64" s="21" t="s">
        <v>47</v>
      </c>
      <c r="D64" s="45" t="s">
        <v>104</v>
      </c>
    </row>
    <row r="65" spans="1:4" ht="15.75" customHeight="1" x14ac:dyDescent="0.2">
      <c r="A65" s="45" t="s">
        <v>65</v>
      </c>
      <c r="B65" s="45" t="s">
        <v>171</v>
      </c>
      <c r="C65" s="21" t="s">
        <v>48</v>
      </c>
      <c r="D65" s="45" t="s">
        <v>110</v>
      </c>
    </row>
    <row r="66" spans="1:4" ht="15.75" customHeight="1" x14ac:dyDescent="0.2">
      <c r="A66" s="45" t="s">
        <v>65</v>
      </c>
      <c r="B66" s="45" t="s">
        <v>172</v>
      </c>
      <c r="C66" s="21" t="s">
        <v>49</v>
      </c>
      <c r="D66" s="45" t="s">
        <v>126</v>
      </c>
    </row>
    <row r="67" spans="1:4" ht="18.75" customHeight="1" x14ac:dyDescent="0.2">
      <c r="A67" s="73" t="s">
        <v>66</v>
      </c>
      <c r="B67" s="69"/>
      <c r="C67" s="69"/>
      <c r="D67" s="71"/>
    </row>
    <row r="68" spans="1:4" ht="15.75" customHeight="1" x14ac:dyDescent="0.2">
      <c r="A68" s="48" t="s">
        <v>67</v>
      </c>
      <c r="B68" s="48" t="s">
        <v>174</v>
      </c>
      <c r="C68" s="25" t="s">
        <v>46</v>
      </c>
      <c r="D68" s="48"/>
    </row>
    <row r="69" spans="1:4" ht="15.75" customHeight="1" x14ac:dyDescent="0.2">
      <c r="A69" s="48" t="s">
        <v>67</v>
      </c>
      <c r="B69" s="48" t="s">
        <v>175</v>
      </c>
      <c r="C69" s="25" t="s">
        <v>47</v>
      </c>
      <c r="D69" s="48"/>
    </row>
    <row r="70" spans="1:4" ht="18.75" customHeight="1" x14ac:dyDescent="0.2">
      <c r="A70" s="72" t="s">
        <v>68</v>
      </c>
      <c r="B70" s="69"/>
      <c r="C70" s="69"/>
      <c r="D70" s="71"/>
    </row>
    <row r="71" spans="1:4" ht="15.75" customHeight="1" x14ac:dyDescent="0.2">
      <c r="A71" s="51" t="s">
        <v>69</v>
      </c>
      <c r="B71" s="51" t="s">
        <v>177</v>
      </c>
      <c r="C71" s="29" t="s">
        <v>46</v>
      </c>
      <c r="D71" s="51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3"/>
  <sheetViews>
    <sheetView zoomScaleNormal="100" workbookViewId="0">
      <selection activeCell="G15" sqref="G15"/>
    </sheetView>
  </sheetViews>
  <sheetFormatPr baseColWidth="10" defaultColWidth="8.6640625" defaultRowHeight="15" x14ac:dyDescent="0.2"/>
  <cols>
    <col min="1" max="1" width="8" customWidth="1"/>
    <col min="2" max="2" width="16" customWidth="1"/>
    <col min="3" max="3" width="18" customWidth="1"/>
    <col min="4" max="4" width="15" customWidth="1"/>
    <col min="5" max="6" width="14" customWidth="1"/>
  </cols>
  <sheetData>
    <row r="1" spans="1:6" ht="39.75" customHeight="1" x14ac:dyDescent="0.2">
      <c r="A1" s="81" t="s">
        <v>201</v>
      </c>
      <c r="B1" s="69"/>
      <c r="C1" s="69"/>
      <c r="D1" s="69"/>
      <c r="E1" s="69"/>
      <c r="F1" s="69"/>
    </row>
    <row r="2" spans="1:6" ht="18" customHeight="1" x14ac:dyDescent="0.2">
      <c r="A2" s="79" t="s">
        <v>202</v>
      </c>
      <c r="B2" s="69"/>
      <c r="C2" s="69"/>
      <c r="D2" s="69"/>
      <c r="E2" s="69"/>
      <c r="F2" s="69"/>
    </row>
    <row r="3" spans="1:6" ht="21.75" customHeight="1" x14ac:dyDescent="0.2">
      <c r="A3" s="32" t="s">
        <v>203</v>
      </c>
      <c r="B3" s="32" t="s">
        <v>204</v>
      </c>
      <c r="C3" s="32" t="s">
        <v>205</v>
      </c>
      <c r="D3" s="32" t="s">
        <v>206</v>
      </c>
      <c r="E3" s="32" t="s">
        <v>207</v>
      </c>
      <c r="F3" s="32" t="s">
        <v>208</v>
      </c>
    </row>
    <row r="4" spans="1:6" ht="27.75" customHeight="1" x14ac:dyDescent="0.2">
      <c r="A4" s="56">
        <f t="shared" ref="A4:A9" si="0">RANK(D4,$D$4:$D$9,0)</f>
        <v>6</v>
      </c>
      <c r="B4" s="57" t="s">
        <v>4</v>
      </c>
      <c r="C4" s="58" t="str">
        <f>Raman!D71</f>
        <v>Duke</v>
      </c>
      <c r="D4" s="59">
        <f>Raman!G73</f>
        <v>67</v>
      </c>
      <c r="E4" s="58">
        <f>Raman!H73</f>
        <v>64</v>
      </c>
      <c r="F4" s="60">
        <f t="shared" ref="F4:F9" si="1">D4+E4</f>
        <v>131</v>
      </c>
    </row>
    <row r="5" spans="1:6" ht="27.75" customHeight="1" x14ac:dyDescent="0.2">
      <c r="A5" s="56">
        <f t="shared" si="0"/>
        <v>4</v>
      </c>
      <c r="B5" s="57" t="s">
        <v>5</v>
      </c>
      <c r="C5" s="58" t="str">
        <f>Porter!D71</f>
        <v>UConn</v>
      </c>
      <c r="D5" s="59">
        <f>Porter!G73</f>
        <v>70</v>
      </c>
      <c r="E5" s="58">
        <f>Porter!H73</f>
        <v>64</v>
      </c>
      <c r="F5" s="60">
        <f t="shared" si="1"/>
        <v>134</v>
      </c>
    </row>
    <row r="6" spans="1:6" ht="27.75" customHeight="1" x14ac:dyDescent="0.2">
      <c r="A6" s="56">
        <f t="shared" si="0"/>
        <v>3</v>
      </c>
      <c r="B6" s="57" t="s">
        <v>6</v>
      </c>
      <c r="C6" s="58" t="str">
        <f>Chuck!D71</f>
        <v>Duke</v>
      </c>
      <c r="D6" s="59">
        <f>Chuck!G73</f>
        <v>77</v>
      </c>
      <c r="E6" s="58">
        <f>Chuck!H73</f>
        <v>64</v>
      </c>
      <c r="F6" s="60">
        <f t="shared" si="1"/>
        <v>141</v>
      </c>
    </row>
    <row r="7" spans="1:6" ht="27.75" customHeight="1" x14ac:dyDescent="0.2">
      <c r="A7" s="56">
        <f t="shared" si="0"/>
        <v>5</v>
      </c>
      <c r="B7" s="57" t="s">
        <v>7</v>
      </c>
      <c r="C7" s="58" t="str">
        <f>Shelly!D71</f>
        <v>Duke</v>
      </c>
      <c r="D7" s="59">
        <f>Shelly!G73</f>
        <v>69</v>
      </c>
      <c r="E7" s="58">
        <f>Shelly!H73</f>
        <v>64</v>
      </c>
      <c r="F7" s="60">
        <f t="shared" si="1"/>
        <v>133</v>
      </c>
    </row>
    <row r="8" spans="1:6" ht="27.75" customHeight="1" x14ac:dyDescent="0.2">
      <c r="A8" s="56">
        <f t="shared" si="0"/>
        <v>1</v>
      </c>
      <c r="B8" s="57" t="s">
        <v>8</v>
      </c>
      <c r="C8" s="58" t="str">
        <f>Kim!D71</f>
        <v>Arizona</v>
      </c>
      <c r="D8" s="59">
        <f>Kim!G73</f>
        <v>89</v>
      </c>
      <c r="E8" s="58">
        <f>Kim!H73</f>
        <v>64</v>
      </c>
      <c r="F8" s="60">
        <f t="shared" si="1"/>
        <v>153</v>
      </c>
    </row>
    <row r="9" spans="1:6" ht="27.75" customHeight="1" x14ac:dyDescent="0.2">
      <c r="A9" s="56">
        <f t="shared" si="0"/>
        <v>2</v>
      </c>
      <c r="B9" s="57" t="s">
        <v>9</v>
      </c>
      <c r="C9" s="58" t="str">
        <f>Tucker!D71</f>
        <v>Duke</v>
      </c>
      <c r="D9" s="59">
        <f>Tucker!G73</f>
        <v>85</v>
      </c>
      <c r="E9" s="58">
        <f>Tucker!H73</f>
        <v>64</v>
      </c>
      <c r="F9" s="60">
        <f t="shared" si="1"/>
        <v>149</v>
      </c>
    </row>
    <row r="11" spans="1:6" ht="18" customHeight="1" x14ac:dyDescent="0.2">
      <c r="A11" s="80" t="s">
        <v>209</v>
      </c>
      <c r="B11" s="69"/>
      <c r="C11" s="69"/>
      <c r="D11" s="69"/>
      <c r="E11" s="69"/>
      <c r="F11" s="69"/>
    </row>
    <row r="12" spans="1:6" ht="18" customHeight="1" x14ac:dyDescent="0.2">
      <c r="A12" s="61" t="s">
        <v>11</v>
      </c>
      <c r="B12" s="62" t="s">
        <v>45</v>
      </c>
      <c r="C12" s="63" t="s">
        <v>63</v>
      </c>
      <c r="D12" s="64" t="s">
        <v>65</v>
      </c>
      <c r="E12" s="65" t="s">
        <v>210</v>
      </c>
      <c r="F12" s="66" t="s">
        <v>69</v>
      </c>
    </row>
    <row r="13" spans="1:6" ht="19.5" customHeight="1" x14ac:dyDescent="0.2">
      <c r="A13" s="67" t="s">
        <v>211</v>
      </c>
      <c r="B13" s="67" t="s">
        <v>212</v>
      </c>
      <c r="C13" s="67" t="s">
        <v>213</v>
      </c>
      <c r="D13" s="67" t="s">
        <v>214</v>
      </c>
      <c r="E13" s="67" t="s">
        <v>215</v>
      </c>
      <c r="F13" s="67" t="s">
        <v>216</v>
      </c>
    </row>
  </sheetData>
  <mergeCells count="3">
    <mergeCell ref="A2:F2"/>
    <mergeCell ref="A11:F11"/>
    <mergeCell ref="A1:F1"/>
  </mergeCells>
  <conditionalFormatting sqref="A4:F9">
    <cfRule type="expression" dxfId="2" priority="2">
      <formula>$A4=1</formula>
    </cfRule>
    <cfRule type="expression" dxfId="1" priority="3">
      <formula>$A4=2</formula>
    </cfRule>
    <cfRule type="expression" dxfId="0" priority="4">
      <formula>$A4=3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📊 Comparison</vt:lpstr>
      <vt:lpstr>Tucker</vt:lpstr>
      <vt:lpstr>Kim</vt:lpstr>
      <vt:lpstr>Shelly</vt:lpstr>
      <vt:lpstr>Chuck</vt:lpstr>
      <vt:lpstr>Porter</vt:lpstr>
      <vt:lpstr>Raman</vt:lpstr>
      <vt:lpstr>Master_Results</vt:lpstr>
      <vt:lpstr>🏆 Leaderboard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Raman Lal</cp:lastModifiedBy>
  <cp:revision>0</cp:revision>
  <dcterms:created xsi:type="dcterms:W3CDTF">2026-03-19T19:09:58Z</dcterms:created>
  <dcterms:modified xsi:type="dcterms:W3CDTF">2026-03-31T02:19:02Z</dcterms:modified>
  <dc:language>en-US</dc:language>
</cp:coreProperties>
</file>