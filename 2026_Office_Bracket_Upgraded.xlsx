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20980" windowWidth="38400" windowHeight="20980" tabRatio="500" firstSheet="0" activeTab="7" autoFilterDateGrouping="1"/>
  </bookViews>
  <sheets>
    <sheet name="📊 Comparison" sheetId="1" state="visible" r:id="rId1"/>
    <sheet name="Tucker" sheetId="2" state="visible" r:id="rId2"/>
    <sheet name="Kim" sheetId="3" state="visible" r:id="rId3"/>
    <sheet name="Shelly" sheetId="4" state="visible" r:id="rId4"/>
    <sheet name="Chuck" sheetId="5" state="visible" r:id="rId5"/>
    <sheet name="Porter" sheetId="6" state="visible" r:id="rId6"/>
    <sheet name="Raman" sheetId="7" state="visible" r:id="rId7"/>
    <sheet name="Master_Results" sheetId="8" state="visible" r:id="rId8"/>
    <sheet name="🏆 Leaderboar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FFD700"/>
      <sz val="10"/>
    </font>
    <font>
      <name val="Arial"/>
      <family val="2"/>
      <color rgb="FF666666"/>
      <sz val="10"/>
    </font>
    <font>
      <name val="Arial"/>
      <family val="2"/>
      <color rgb="FF2D2D2D"/>
      <sz val="10"/>
    </font>
    <font>
      <name val="Arial"/>
      <family val="2"/>
      <b val="1"/>
      <color rgb="FF1E6B1E"/>
      <sz val="10"/>
    </font>
    <font>
      <name val="Arial"/>
      <family val="2"/>
      <color rgb="FF888888"/>
      <sz val="10"/>
    </font>
    <font>
      <name val="Arial"/>
      <family val="2"/>
      <b val="1"/>
      <color rgb="FF1A3B6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6"/>
    </font>
    <font>
      <name val="Arial"/>
      <family val="2"/>
      <i val="1"/>
      <color rgb="FF555555"/>
      <sz val="10"/>
    </font>
    <font>
      <name val="Arial"/>
      <family val="2"/>
      <b val="1"/>
      <color rgb="FF1A3B6F"/>
      <sz val="11"/>
    </font>
    <font>
      <name val="Arial"/>
      <family val="2"/>
      <b val="1"/>
      <color rgb="FF2D2D2D"/>
      <sz val="11"/>
    </font>
    <font>
      <name val="Arial"/>
      <family val="2"/>
      <b val="1"/>
      <color rgb="FF1A3B6F"/>
      <sz val="12"/>
    </font>
    <font>
      <name val="Arial"/>
      <family val="2"/>
      <b val="1"/>
      <color rgb="FF2D2D2D"/>
      <sz val="10"/>
    </font>
    <font>
      <name val="Arial"/>
      <family val="2"/>
      <b val="1"/>
      <color rgb="FFFFD700"/>
      <sz val="9"/>
    </font>
  </fonts>
  <fills count="27">
    <fill>
      <patternFill/>
    </fill>
    <fill>
      <patternFill patternType="gray125"/>
    </fill>
    <fill>
      <patternFill patternType="solid">
        <fgColor rgb="FF2C3E50"/>
        <bgColor rgb="FF243F6A"/>
      </patternFill>
    </fill>
    <fill>
      <patternFill patternType="solid">
        <fgColor rgb="FF1A3B6F"/>
        <bgColor rgb="FF243F6A"/>
      </patternFill>
    </fill>
    <fill>
      <patternFill patternType="solid">
        <fgColor rgb="FFC0392B"/>
        <bgColor rgb="FFD35400"/>
      </patternFill>
    </fill>
    <fill>
      <patternFill patternType="solid">
        <fgColor rgb="FF2471A3"/>
        <bgColor rgb="FF117A65"/>
      </patternFill>
    </fill>
    <fill>
      <patternFill patternType="solid">
        <fgColor rgb="FF1E8449"/>
        <bgColor rgb="FF117A65"/>
      </patternFill>
    </fill>
    <fill>
      <patternFill patternType="solid">
        <fgColor rgb="FF7D3C98"/>
        <bgColor rgb="FF5A5A5A"/>
      </patternFill>
    </fill>
    <fill>
      <patternFill patternType="solid">
        <fgColor rgb="FFD35400"/>
        <bgColor rgb="FFE8622A"/>
      </patternFill>
    </fill>
    <fill>
      <patternFill patternType="solid">
        <fgColor rgb="FF117A65"/>
        <bgColor rgb="FF1E8449"/>
      </patternFill>
    </fill>
    <fill>
      <patternFill patternType="solid">
        <fgColor rgb="FFEDF4FB"/>
        <bgColor rgb="FFF5F5F5"/>
      </patternFill>
    </fill>
    <fill>
      <patternFill patternType="solid">
        <fgColor rgb="FF1F5C2E"/>
        <bgColor rgb="FF1E6B1E"/>
      </patternFill>
    </fill>
    <fill>
      <patternFill patternType="solid">
        <fgColor rgb="FFE8F5E9"/>
        <bgColor rgb="FFEDF4FB"/>
      </patternFill>
    </fill>
    <fill>
      <patternFill patternType="solid">
        <fgColor rgb="FF7A5800"/>
        <bgColor rgb="FF8B4513"/>
      </patternFill>
    </fill>
    <fill>
      <patternFill patternType="solid">
        <fgColor rgb="FFFFFDE7"/>
        <bgColor rgb="FFFFFFF0"/>
      </patternFill>
    </fill>
    <fill>
      <patternFill patternType="solid">
        <fgColor rgb="FF7B1040"/>
        <bgColor rgb="FF800080"/>
      </patternFill>
    </fill>
    <fill>
      <patternFill patternType="solid">
        <fgColor rgb="FFFCE4EC"/>
        <bgColor rgb="FFF3E5F5"/>
      </patternFill>
    </fill>
    <fill>
      <patternFill patternType="solid">
        <fgColor rgb="FF4A0072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9B7700"/>
        <bgColor rgb="FFB8860B"/>
      </patternFill>
    </fill>
    <fill>
      <patternFill patternType="solid">
        <fgColor rgb="FFFFFFF0"/>
        <bgColor rgb="FFFFFDE7"/>
      </patternFill>
    </fill>
    <fill>
      <patternFill patternType="solid">
        <fgColor rgb="FFE8622A"/>
        <bgColor rgb="FFD35400"/>
      </patternFill>
    </fill>
    <fill>
      <patternFill patternType="solid">
        <fgColor rgb="FF243F6A"/>
        <bgColor rgb="FF1A3B6F"/>
      </patternFill>
    </fill>
    <fill>
      <patternFill patternType="solid">
        <fgColor rgb="FF2E4F8C"/>
        <bgColor rgb="FF243F6A"/>
      </patternFill>
    </fill>
    <fill>
      <patternFill patternType="solid">
        <fgColor rgb="FFC6EFCE"/>
        <bgColor rgb="FFE8F5E9"/>
      </patternFill>
    </fill>
    <fill>
      <patternFill patternType="solid">
        <fgColor rgb="FFF8F8F8"/>
        <bgColor rgb="FFF5F5F5"/>
      </patternFill>
    </fill>
    <fill>
      <patternFill patternType="solid">
        <fgColor rgb="FFF5F5F5"/>
        <bgColor rgb="FFF8F8F8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2" fillId="2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19" borderId="2" applyAlignment="1" pivotButton="0" quotePrefix="0" xfId="0">
      <alignment horizontal="left" vertical="center" indent="1"/>
    </xf>
    <xf numFmtId="0" fontId="3" fillId="17" borderId="2" applyAlignment="1" pivotButton="0" quotePrefix="0" xfId="0">
      <alignment horizontal="left" vertical="center" indent="1"/>
    </xf>
    <xf numFmtId="0" fontId="3" fillId="15" borderId="2" applyAlignment="1" pivotButton="0" quotePrefix="0" xfId="0">
      <alignment horizontal="left" vertical="center" indent="1"/>
    </xf>
    <xf numFmtId="0" fontId="3" fillId="13" borderId="2" applyAlignment="1" pivotButton="0" quotePrefix="0" xfId="0">
      <alignment horizontal="left" vertical="center" indent="1"/>
    </xf>
    <xf numFmtId="0" fontId="3" fillId="11" borderId="2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indent="1"/>
    </xf>
    <xf numFmtId="0" fontId="6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3" fillId="26" borderId="1" applyAlignment="1" pivotButton="0" quotePrefix="0" xfId="0">
      <alignment horizontal="center" vertical="center"/>
    </xf>
    <xf numFmtId="0" fontId="14" fillId="26" borderId="1" applyAlignment="1" pivotButton="0" quotePrefix="0" xfId="0">
      <alignment horizontal="left" vertical="center" indent="1"/>
    </xf>
    <xf numFmtId="0" fontId="5" fillId="26" borderId="1" applyAlignment="1" pivotButton="0" quotePrefix="0" xfId="0">
      <alignment horizontal="center" vertical="center"/>
    </xf>
    <xf numFmtId="0" fontId="15" fillId="26" borderId="1" applyAlignment="1" pivotButton="0" quotePrefix="0" xfId="0">
      <alignment horizontal="center" vertical="center"/>
    </xf>
    <xf numFmtId="0" fontId="16" fillId="26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dxfs count="18">
    <dxf>
      <font>
        <name val="Arial"/>
        <charset val="1"/>
        <b val="1"/>
        <color rgb="FF8B4513"/>
        <sz val="11"/>
      </font>
      <fill>
        <patternFill>
          <bgColor rgb="FFFDF0E6"/>
        </patternFill>
      </fill>
    </dxf>
    <dxf>
      <font>
        <name val="Arial"/>
        <charset val="1"/>
        <b val="1"/>
        <color rgb="FF5A5A5A"/>
        <sz val="11"/>
      </font>
      <fill>
        <patternFill>
          <bgColor rgb="FFF5F5F5"/>
        </patternFill>
      </fill>
    </dxf>
    <dxf>
      <font>
        <name val="Arial"/>
        <charset val="1"/>
        <b val="1"/>
        <color rgb="FFB8860B"/>
        <sz val="11"/>
      </font>
      <fill>
        <patternFill>
          <bgColor rgb="FFFFF8D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1E6B1E"/>
        <sz val="1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F0"/>
      <rgbColor rgb="FFFF00FF"/>
      <rgbColor rgb="FF00FFFF"/>
      <rgbColor rgb="FF9C0006"/>
      <rgbColor rgb="FF1E6B1E"/>
      <rgbColor rgb="FF000080"/>
      <rgbColor rgb="FF9B7700"/>
      <rgbColor rgb="FF7B1040"/>
      <rgbColor rgb="FF117A65"/>
      <rgbColor rgb="FFBBBBBB"/>
      <rgbColor rgb="FF888888"/>
      <rgbColor rgb="FF9999FF"/>
      <rgbColor rgb="FF7D3C98"/>
      <rgbColor rgb="FFFFF8DC"/>
      <rgbColor rgb="FFE8F5E9"/>
      <rgbColor rgb="FF4A0072"/>
      <rgbColor rgb="FFD35400"/>
      <rgbColor rgb="FF2471A3"/>
      <rgbColor rgb="FFF3E5F5"/>
      <rgbColor rgb="FF000080"/>
      <rgbColor rgb="FFFF00FF"/>
      <rgbColor rgb="FFF8F8F8"/>
      <rgbColor rgb="FF00FFFF"/>
      <rgbColor rgb="FF800080"/>
      <rgbColor rgb="FF7A5800"/>
      <rgbColor rgb="FF5A5A5A"/>
      <rgbColor rgb="FF0000FF"/>
      <rgbColor rgb="FF00CCFF"/>
      <rgbColor rgb="FFEDF4FB"/>
      <rgbColor rgb="FFC6EFCE"/>
      <rgbColor rgb="FFFFFDE7"/>
      <rgbColor rgb="FFFCE4EC"/>
      <rgbColor rgb="FFFDF0E6"/>
      <rgbColor rgb="FFF5F5F5"/>
      <rgbColor rgb="FFFFC7CE"/>
      <rgbColor rgb="FF2E4F8C"/>
      <rgbColor rgb="FF33CCCC"/>
      <rgbColor rgb="FF99CC00"/>
      <rgbColor rgb="FFFFD700"/>
      <rgbColor rgb="FFB8860B"/>
      <rgbColor rgb="FFE8622A"/>
      <rgbColor rgb="FF666666"/>
      <rgbColor rgb="FF555555"/>
      <rgbColor rgb="FF1A3B6F"/>
      <rgbColor rgb="FF1E8449"/>
      <rgbColor rgb="FF1F5C2E"/>
      <rgbColor rgb="FF2C3E50"/>
      <rgbColor rgb="FF8B4513"/>
      <rgbColor rgb="FFC0392B"/>
      <rgbColor rgb="FF243F6A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zoomScaleNormal="100" workbookViewId="0">
      <pane ySplit="2" topLeftCell="A3" activePane="bottomLeft" state="frozen"/>
      <selection pane="bottomLeft" activeCell="C4" sqref="C4"/>
    </sheetView>
  </sheetViews>
  <sheetFormatPr baseColWidth="10" defaultColWidth="8.6640625" defaultRowHeight="15"/>
  <cols>
    <col width="14" customWidth="1" min="1" max="1"/>
    <col width="38" customWidth="1" min="2" max="2"/>
    <col width="20" customWidth="1" min="3" max="3"/>
    <col width="15" customWidth="1" min="4" max="9"/>
  </cols>
  <sheetData>
    <row r="1" ht="30" customHeight="1">
      <c r="A1" s="12" t="inlineStr">
        <is>
          <t>📊  HEAD-TO-HEAD PICK COMPARISON — All Participants</t>
        </is>
      </c>
    </row>
    <row r="2" ht="21.75" customHeight="1">
      <c r="A2" s="13" t="inlineStr">
        <is>
          <t>Round</t>
        </is>
      </c>
      <c r="B2" s="13" t="inlineStr">
        <is>
          <t>Matchup</t>
        </is>
      </c>
      <c r="C2" s="13" t="inlineStr">
        <is>
          <t>Actual Winner</t>
        </is>
      </c>
      <c r="D2" s="14" t="inlineStr">
        <is>
          <t>Raman</t>
        </is>
      </c>
      <c r="E2" s="15" t="inlineStr">
        <is>
          <t>Porter</t>
        </is>
      </c>
      <c r="F2" s="16" t="inlineStr">
        <is>
          <t>Chuck</t>
        </is>
      </c>
      <c r="G2" s="17" t="inlineStr">
        <is>
          <t>Shelly</t>
        </is>
      </c>
      <c r="H2" s="18" t="inlineStr">
        <is>
          <t>Kim</t>
        </is>
      </c>
      <c r="I2" s="19" t="inlineStr">
        <is>
          <t>Tucker</t>
        </is>
      </c>
    </row>
    <row r="3" ht="18.75" customHeight="1">
      <c r="A3" s="11" t="inlineStr">
        <is>
          <t xml:space="preserve">  ▸  ROUND OF 64</t>
        </is>
      </c>
      <c r="I3" s="80" t="n"/>
    </row>
    <row r="4" ht="15.75" customHeight="1">
      <c r="A4" s="20" t="inlineStr">
        <is>
          <t>Round of 64</t>
        </is>
      </c>
      <c r="B4" s="21" t="inlineStr">
        <is>
          <t>(1) Duke vs (16) Siena</t>
        </is>
      </c>
      <c r="C4" s="22">
        <f>Master_Results!D2</f>
        <v/>
      </c>
      <c r="D4" s="23">
        <f>Raman!D4</f>
        <v/>
      </c>
      <c r="E4" s="23">
        <f>Porter!D4</f>
        <v/>
      </c>
      <c r="F4" s="23">
        <f>Chuck!D4</f>
        <v/>
      </c>
      <c r="G4" s="23">
        <f>Shelly!D4</f>
        <v/>
      </c>
      <c r="H4" s="23">
        <f>Kim!D4</f>
        <v/>
      </c>
      <c r="I4" s="23">
        <f>Tucker!D4</f>
        <v/>
      </c>
    </row>
    <row r="5" ht="15.75" customHeight="1">
      <c r="A5" s="20" t="inlineStr">
        <is>
          <t>Round of 64</t>
        </is>
      </c>
      <c r="B5" s="21" t="inlineStr">
        <is>
          <t>(8) Ohio St vs (9) TCU</t>
        </is>
      </c>
      <c r="C5" s="22">
        <f>Master_Results!D3</f>
        <v/>
      </c>
      <c r="D5" s="23">
        <f>Raman!D5</f>
        <v/>
      </c>
      <c r="E5" s="23">
        <f>Porter!D5</f>
        <v/>
      </c>
      <c r="F5" s="23">
        <f>Chuck!D5</f>
        <v/>
      </c>
      <c r="G5" s="23">
        <f>Shelly!D5</f>
        <v/>
      </c>
      <c r="H5" s="23">
        <f>Kim!D5</f>
        <v/>
      </c>
      <c r="I5" s="23">
        <f>Tucker!D5</f>
        <v/>
      </c>
    </row>
    <row r="6" ht="15.75" customHeight="1">
      <c r="A6" s="20" t="inlineStr">
        <is>
          <t>Round of 64</t>
        </is>
      </c>
      <c r="B6" s="21" t="inlineStr">
        <is>
          <t>(5) St. John's vs (12) Northern Iowa</t>
        </is>
      </c>
      <c r="C6" s="22">
        <f>Master_Results!D4</f>
        <v/>
      </c>
      <c r="D6" s="23">
        <f>Raman!D6</f>
        <v/>
      </c>
      <c r="E6" s="23">
        <f>Porter!D6</f>
        <v/>
      </c>
      <c r="F6" s="23">
        <f>Chuck!D6</f>
        <v/>
      </c>
      <c r="G6" s="23">
        <f>Shelly!D6</f>
        <v/>
      </c>
      <c r="H6" s="23">
        <f>Kim!D6</f>
        <v/>
      </c>
      <c r="I6" s="23">
        <f>Tucker!D6</f>
        <v/>
      </c>
    </row>
    <row r="7" ht="15.75" customHeight="1">
      <c r="A7" s="20" t="inlineStr">
        <is>
          <t>Round of 64</t>
        </is>
      </c>
      <c r="B7" s="21" t="inlineStr">
        <is>
          <t>(4) Kansas vs (13) Cal Baptist</t>
        </is>
      </c>
      <c r="C7" s="22">
        <f>Master_Results!D5</f>
        <v/>
      </c>
      <c r="D7" s="23">
        <f>Raman!D7</f>
        <v/>
      </c>
      <c r="E7" s="23">
        <f>Porter!D7</f>
        <v/>
      </c>
      <c r="F7" s="23">
        <f>Chuck!D7</f>
        <v/>
      </c>
      <c r="G7" s="23">
        <f>Shelly!D7</f>
        <v/>
      </c>
      <c r="H7" s="23">
        <f>Kim!D7</f>
        <v/>
      </c>
      <c r="I7" s="23">
        <f>Tucker!D7</f>
        <v/>
      </c>
    </row>
    <row r="8" ht="15.75" customHeight="1">
      <c r="A8" s="20" t="inlineStr">
        <is>
          <t>Round of 64</t>
        </is>
      </c>
      <c r="B8" s="21" t="inlineStr">
        <is>
          <t>(6) Louisville vs (11) South Florida</t>
        </is>
      </c>
      <c r="C8" s="22">
        <f>Master_Results!D6</f>
        <v/>
      </c>
      <c r="D8" s="23">
        <f>Raman!D8</f>
        <v/>
      </c>
      <c r="E8" s="23">
        <f>Porter!D8</f>
        <v/>
      </c>
      <c r="F8" s="23">
        <f>Chuck!D8</f>
        <v/>
      </c>
      <c r="G8" s="23">
        <f>Shelly!D8</f>
        <v/>
      </c>
      <c r="H8" s="23">
        <f>Kim!D8</f>
        <v/>
      </c>
      <c r="I8" s="23">
        <f>Tucker!D8</f>
        <v/>
      </c>
    </row>
    <row r="9" ht="15.75" customHeight="1">
      <c r="A9" s="20" t="inlineStr">
        <is>
          <t>Round of 64</t>
        </is>
      </c>
      <c r="B9" s="21" t="inlineStr">
        <is>
          <t>(3) Michigan St vs (14) ND State</t>
        </is>
      </c>
      <c r="C9" s="22">
        <f>Master_Results!D7</f>
        <v/>
      </c>
      <c r="D9" s="23">
        <f>Raman!D9</f>
        <v/>
      </c>
      <c r="E9" s="23">
        <f>Porter!D9</f>
        <v/>
      </c>
      <c r="F9" s="23">
        <f>Chuck!D9</f>
        <v/>
      </c>
      <c r="G9" s="23">
        <f>Shelly!D9</f>
        <v/>
      </c>
      <c r="H9" s="23">
        <f>Kim!D9</f>
        <v/>
      </c>
      <c r="I9" s="23">
        <f>Tucker!D9</f>
        <v/>
      </c>
    </row>
    <row r="10" ht="15.75" customHeight="1">
      <c r="A10" s="20" t="inlineStr">
        <is>
          <t>Round of 64</t>
        </is>
      </c>
      <c r="B10" s="21" t="inlineStr">
        <is>
          <t>(7) UCLA vs (10) UCF</t>
        </is>
      </c>
      <c r="C10" s="22">
        <f>Master_Results!D8</f>
        <v/>
      </c>
      <c r="D10" s="23">
        <f>Raman!D10</f>
        <v/>
      </c>
      <c r="E10" s="23">
        <f>Porter!D10</f>
        <v/>
      </c>
      <c r="F10" s="23">
        <f>Chuck!D10</f>
        <v/>
      </c>
      <c r="G10" s="23">
        <f>Shelly!D10</f>
        <v/>
      </c>
      <c r="H10" s="23">
        <f>Kim!D10</f>
        <v/>
      </c>
      <c r="I10" s="23">
        <f>Tucker!D10</f>
        <v/>
      </c>
    </row>
    <row r="11" ht="15.75" customHeight="1">
      <c r="A11" s="20" t="inlineStr">
        <is>
          <t>Round of 64</t>
        </is>
      </c>
      <c r="B11" s="21" t="inlineStr">
        <is>
          <t>(2) UConn vs (15) Furman</t>
        </is>
      </c>
      <c r="C11" s="22">
        <f>Master_Results!D9</f>
        <v/>
      </c>
      <c r="D11" s="23">
        <f>Raman!D11</f>
        <v/>
      </c>
      <c r="E11" s="23">
        <f>Porter!D11</f>
        <v/>
      </c>
      <c r="F11" s="23">
        <f>Chuck!D11</f>
        <v/>
      </c>
      <c r="G11" s="23">
        <f>Shelly!D11</f>
        <v/>
      </c>
      <c r="H11" s="23">
        <f>Kim!D11</f>
        <v/>
      </c>
      <c r="I11" s="23">
        <f>Tucker!D11</f>
        <v/>
      </c>
    </row>
    <row r="12" ht="15.75" customHeight="1">
      <c r="A12" s="20" t="inlineStr">
        <is>
          <t>Round of 64</t>
        </is>
      </c>
      <c r="B12" s="21" t="inlineStr">
        <is>
          <t>(1) Florida vs (16) Prairie View A&amp;M</t>
        </is>
      </c>
      <c r="C12" s="22">
        <f>Master_Results!D10</f>
        <v/>
      </c>
      <c r="D12" s="23">
        <f>Raman!D12</f>
        <v/>
      </c>
      <c r="E12" s="23">
        <f>Porter!D12</f>
        <v/>
      </c>
      <c r="F12" s="23">
        <f>Chuck!D12</f>
        <v/>
      </c>
      <c r="G12" s="23">
        <f>Shelly!D12</f>
        <v/>
      </c>
      <c r="H12" s="23">
        <f>Kim!D12</f>
        <v/>
      </c>
      <c r="I12" s="23">
        <f>Tucker!D12</f>
        <v/>
      </c>
    </row>
    <row r="13" ht="15.75" customHeight="1">
      <c r="A13" s="20" t="inlineStr">
        <is>
          <t>Round of 64</t>
        </is>
      </c>
      <c r="B13" s="21" t="inlineStr">
        <is>
          <t>(8) Clemson vs (9) Iowa</t>
        </is>
      </c>
      <c r="C13" s="22">
        <f>Master_Results!D11</f>
        <v/>
      </c>
      <c r="D13" s="23">
        <f>Raman!D13</f>
        <v/>
      </c>
      <c r="E13" s="23">
        <f>Porter!D13</f>
        <v/>
      </c>
      <c r="F13" s="23">
        <f>Chuck!D13</f>
        <v/>
      </c>
      <c r="G13" s="23">
        <f>Shelly!D13</f>
        <v/>
      </c>
      <c r="H13" s="23">
        <f>Kim!D13</f>
        <v/>
      </c>
      <c r="I13" s="23">
        <f>Tucker!D13</f>
        <v/>
      </c>
    </row>
    <row r="14" ht="15.75" customHeight="1">
      <c r="A14" s="20" t="inlineStr">
        <is>
          <t>Round of 64</t>
        </is>
      </c>
      <c r="B14" s="21" t="inlineStr">
        <is>
          <t>(5) Vandy vs (12) McNeese</t>
        </is>
      </c>
      <c r="C14" s="22">
        <f>Master_Results!D12</f>
        <v/>
      </c>
      <c r="D14" s="23">
        <f>Raman!D14</f>
        <v/>
      </c>
      <c r="E14" s="23">
        <f>Porter!D14</f>
        <v/>
      </c>
      <c r="F14" s="23">
        <f>Chuck!D14</f>
        <v/>
      </c>
      <c r="G14" s="23">
        <f>Shelly!D14</f>
        <v/>
      </c>
      <c r="H14" s="23">
        <f>Kim!D14</f>
        <v/>
      </c>
      <c r="I14" s="23">
        <f>Tucker!D14</f>
        <v/>
      </c>
    </row>
    <row r="15" ht="15.75" customHeight="1">
      <c r="A15" s="20" t="inlineStr">
        <is>
          <t>Round of 64</t>
        </is>
      </c>
      <c r="B15" s="21" t="inlineStr">
        <is>
          <t>(4) Nebraska vs (13) Troy</t>
        </is>
      </c>
      <c r="C15" s="22">
        <f>Master_Results!D13</f>
        <v/>
      </c>
      <c r="D15" s="23">
        <f>Raman!D15</f>
        <v/>
      </c>
      <c r="E15" s="23">
        <f>Porter!D15</f>
        <v/>
      </c>
      <c r="F15" s="23">
        <f>Chuck!D15</f>
        <v/>
      </c>
      <c r="G15" s="23">
        <f>Shelly!D15</f>
        <v/>
      </c>
      <c r="H15" s="23">
        <f>Kim!D15</f>
        <v/>
      </c>
      <c r="I15" s="23">
        <f>Tucker!D15</f>
        <v/>
      </c>
    </row>
    <row r="16" ht="15.75" customHeight="1">
      <c r="A16" s="20" t="inlineStr">
        <is>
          <t>Round of 64</t>
        </is>
      </c>
      <c r="B16" s="21" t="inlineStr">
        <is>
          <t>(6) North Carolina vs (11) VCU</t>
        </is>
      </c>
      <c r="C16" s="22">
        <f>Master_Results!D14</f>
        <v/>
      </c>
      <c r="D16" s="23">
        <f>Raman!D16</f>
        <v/>
      </c>
      <c r="E16" s="23">
        <f>Porter!D16</f>
        <v/>
      </c>
      <c r="F16" s="23">
        <f>Chuck!D16</f>
        <v/>
      </c>
      <c r="G16" s="23">
        <f>Shelly!D16</f>
        <v/>
      </c>
      <c r="H16" s="23">
        <f>Kim!D16</f>
        <v/>
      </c>
      <c r="I16" s="23">
        <f>Tucker!D16</f>
        <v/>
      </c>
    </row>
    <row r="17" ht="15.75" customHeight="1">
      <c r="A17" s="20" t="inlineStr">
        <is>
          <t>Round of 64</t>
        </is>
      </c>
      <c r="B17" s="21" t="inlineStr">
        <is>
          <t>(3) Illinois vs (14) Penn</t>
        </is>
      </c>
      <c r="C17" s="22">
        <f>Master_Results!D15</f>
        <v/>
      </c>
      <c r="D17" s="23">
        <f>Raman!D17</f>
        <v/>
      </c>
      <c r="E17" s="23">
        <f>Porter!D17</f>
        <v/>
      </c>
      <c r="F17" s="23">
        <f>Chuck!D17</f>
        <v/>
      </c>
      <c r="G17" s="23">
        <f>Shelly!D17</f>
        <v/>
      </c>
      <c r="H17" s="23">
        <f>Kim!D17</f>
        <v/>
      </c>
      <c r="I17" s="23">
        <f>Tucker!D17</f>
        <v/>
      </c>
    </row>
    <row r="18" ht="15.75" customHeight="1">
      <c r="A18" s="20" t="inlineStr">
        <is>
          <t>Round of 64</t>
        </is>
      </c>
      <c r="B18" s="21" t="inlineStr">
        <is>
          <t>(7) St. Mary's vs (10) Texas A&amp;M</t>
        </is>
      </c>
      <c r="C18" s="22">
        <f>Master_Results!D16</f>
        <v/>
      </c>
      <c r="D18" s="23">
        <f>Raman!D18</f>
        <v/>
      </c>
      <c r="E18" s="23">
        <f>Porter!D18</f>
        <v/>
      </c>
      <c r="F18" s="23">
        <f>Chuck!D18</f>
        <v/>
      </c>
      <c r="G18" s="23">
        <f>Shelly!D18</f>
        <v/>
      </c>
      <c r="H18" s="23">
        <f>Kim!D18</f>
        <v/>
      </c>
      <c r="I18" s="23">
        <f>Tucker!D18</f>
        <v/>
      </c>
    </row>
    <row r="19" ht="15.75" customHeight="1">
      <c r="A19" s="20" t="inlineStr">
        <is>
          <t>Round of 64</t>
        </is>
      </c>
      <c r="B19" s="21" t="inlineStr">
        <is>
          <t>(2) Houston vs (15) Idaho</t>
        </is>
      </c>
      <c r="C19" s="22">
        <f>Master_Results!D17</f>
        <v/>
      </c>
      <c r="D19" s="23">
        <f>Raman!D19</f>
        <v/>
      </c>
      <c r="E19" s="23">
        <f>Porter!D19</f>
        <v/>
      </c>
      <c r="F19" s="23">
        <f>Chuck!D19</f>
        <v/>
      </c>
      <c r="G19" s="23">
        <f>Shelly!D19</f>
        <v/>
      </c>
      <c r="H19" s="23">
        <f>Kim!D19</f>
        <v/>
      </c>
      <c r="I19" s="23">
        <f>Tucker!D19</f>
        <v/>
      </c>
    </row>
    <row r="20" ht="15.75" customHeight="1">
      <c r="A20" s="20" t="inlineStr">
        <is>
          <t>Round of 64</t>
        </is>
      </c>
      <c r="B20" s="21" t="inlineStr">
        <is>
          <t>(1) Arizona vs (16) Long Island</t>
        </is>
      </c>
      <c r="C20" s="22">
        <f>Master_Results!D18</f>
        <v/>
      </c>
      <c r="D20" s="23">
        <f>Raman!D20</f>
        <v/>
      </c>
      <c r="E20" s="23">
        <f>Porter!D20</f>
        <v/>
      </c>
      <c r="F20" s="23">
        <f>Chuck!D20</f>
        <v/>
      </c>
      <c r="G20" s="23">
        <f>Shelly!D20</f>
        <v/>
      </c>
      <c r="H20" s="23">
        <f>Kim!D20</f>
        <v/>
      </c>
      <c r="I20" s="23">
        <f>Tucker!D20</f>
        <v/>
      </c>
    </row>
    <row r="21" ht="15.75" customHeight="1">
      <c r="A21" s="20" t="inlineStr">
        <is>
          <t>Round of 64</t>
        </is>
      </c>
      <c r="B21" s="21" t="inlineStr">
        <is>
          <t>(8) Villanova vs (9) Utah St</t>
        </is>
      </c>
      <c r="C21" s="22">
        <f>Master_Results!D19</f>
        <v/>
      </c>
      <c r="D21" s="23">
        <f>Raman!D21</f>
        <v/>
      </c>
      <c r="E21" s="23">
        <f>Porter!D21</f>
        <v/>
      </c>
      <c r="F21" s="23">
        <f>Chuck!D21</f>
        <v/>
      </c>
      <c r="G21" s="23">
        <f>Shelly!D21</f>
        <v/>
      </c>
      <c r="H21" s="23">
        <f>Kim!D21</f>
        <v/>
      </c>
      <c r="I21" s="23">
        <f>Tucker!D21</f>
        <v/>
      </c>
    </row>
    <row r="22" ht="15.75" customHeight="1">
      <c r="A22" s="20" t="inlineStr">
        <is>
          <t>Round of 64</t>
        </is>
      </c>
      <c r="B22" s="21" t="inlineStr">
        <is>
          <t>(5) Wisconsin vs (12) High Point</t>
        </is>
      </c>
      <c r="C22" s="22">
        <f>Master_Results!D20</f>
        <v/>
      </c>
      <c r="D22" s="23">
        <f>Raman!D22</f>
        <v/>
      </c>
      <c r="E22" s="23">
        <f>Porter!D22</f>
        <v/>
      </c>
      <c r="F22" s="23">
        <f>Chuck!D22</f>
        <v/>
      </c>
      <c r="G22" s="23">
        <f>Shelly!D22</f>
        <v/>
      </c>
      <c r="H22" s="23">
        <f>Kim!D22</f>
        <v/>
      </c>
      <c r="I22" s="23">
        <f>Tucker!D22</f>
        <v/>
      </c>
    </row>
    <row r="23" ht="15.75" customHeight="1">
      <c r="A23" s="20" t="inlineStr">
        <is>
          <t>Round of 64</t>
        </is>
      </c>
      <c r="B23" s="21" t="inlineStr">
        <is>
          <t>(4) Arkansas vs (13) Hawai'i</t>
        </is>
      </c>
      <c r="C23" s="22">
        <f>Master_Results!D21</f>
        <v/>
      </c>
      <c r="D23" s="23">
        <f>Raman!D23</f>
        <v/>
      </c>
      <c r="E23" s="23">
        <f>Porter!D23</f>
        <v/>
      </c>
      <c r="F23" s="23">
        <f>Chuck!D23</f>
        <v/>
      </c>
      <c r="G23" s="23">
        <f>Shelly!D23</f>
        <v/>
      </c>
      <c r="H23" s="23">
        <f>Kim!D23</f>
        <v/>
      </c>
      <c r="I23" s="23">
        <f>Tucker!D23</f>
        <v/>
      </c>
    </row>
    <row r="24" ht="15.75" customHeight="1">
      <c r="A24" s="20" t="inlineStr">
        <is>
          <t>Round of 64</t>
        </is>
      </c>
      <c r="B24" s="21" t="inlineStr">
        <is>
          <t>(6) BYU vs (11) Texas</t>
        </is>
      </c>
      <c r="C24" s="22">
        <f>Master_Results!D22</f>
        <v/>
      </c>
      <c r="D24" s="23">
        <f>Raman!D24</f>
        <v/>
      </c>
      <c r="E24" s="23">
        <f>Porter!D24</f>
        <v/>
      </c>
      <c r="F24" s="23">
        <f>Chuck!D24</f>
        <v/>
      </c>
      <c r="G24" s="23">
        <f>Shelly!D24</f>
        <v/>
      </c>
      <c r="H24" s="23">
        <f>Kim!D24</f>
        <v/>
      </c>
      <c r="I24" s="23">
        <f>Tucker!D24</f>
        <v/>
      </c>
    </row>
    <row r="25" ht="15.75" customHeight="1">
      <c r="A25" s="20" t="inlineStr">
        <is>
          <t>Round of 64</t>
        </is>
      </c>
      <c r="B25" s="21" t="inlineStr">
        <is>
          <t>(3) Gonzaga vs (14) Kennesaw St</t>
        </is>
      </c>
      <c r="C25" s="22">
        <f>Master_Results!D23</f>
        <v/>
      </c>
      <c r="D25" s="23">
        <f>Raman!D25</f>
        <v/>
      </c>
      <c r="E25" s="23">
        <f>Porter!D25</f>
        <v/>
      </c>
      <c r="F25" s="23">
        <f>Chuck!D25</f>
        <v/>
      </c>
      <c r="G25" s="23">
        <f>Shelly!D25</f>
        <v/>
      </c>
      <c r="H25" s="23">
        <f>Kim!D25</f>
        <v/>
      </c>
      <c r="I25" s="23">
        <f>Tucker!D25</f>
        <v/>
      </c>
    </row>
    <row r="26" ht="15.75" customHeight="1">
      <c r="A26" s="20" t="inlineStr">
        <is>
          <t>Round of 64</t>
        </is>
      </c>
      <c r="B26" s="21" t="inlineStr">
        <is>
          <t>(7) Miami (FL) vs (10) Missouri</t>
        </is>
      </c>
      <c r="C26" s="22">
        <f>Master_Results!D24</f>
        <v/>
      </c>
      <c r="D26" s="23">
        <f>Raman!D26</f>
        <v/>
      </c>
      <c r="E26" s="23">
        <f>Porter!D26</f>
        <v/>
      </c>
      <c r="F26" s="23">
        <f>Chuck!D26</f>
        <v/>
      </c>
      <c r="G26" s="23">
        <f>Shelly!D26</f>
        <v/>
      </c>
      <c r="H26" s="23">
        <f>Kim!D26</f>
        <v/>
      </c>
      <c r="I26" s="23">
        <f>Tucker!D26</f>
        <v/>
      </c>
    </row>
    <row r="27" ht="15.75" customHeight="1">
      <c r="A27" s="20" t="inlineStr">
        <is>
          <t>Round of 64</t>
        </is>
      </c>
      <c r="B27" s="21" t="inlineStr">
        <is>
          <t>(2) Purdue vs (15) Queens</t>
        </is>
      </c>
      <c r="C27" s="22">
        <f>Master_Results!D25</f>
        <v/>
      </c>
      <c r="D27" s="23">
        <f>Raman!D27</f>
        <v/>
      </c>
      <c r="E27" s="23">
        <f>Porter!D27</f>
        <v/>
      </c>
      <c r="F27" s="23">
        <f>Chuck!D27</f>
        <v/>
      </c>
      <c r="G27" s="23">
        <f>Shelly!D27</f>
        <v/>
      </c>
      <c r="H27" s="23">
        <f>Kim!D27</f>
        <v/>
      </c>
      <c r="I27" s="23">
        <f>Tucker!D27</f>
        <v/>
      </c>
    </row>
    <row r="28" ht="15.75" customHeight="1">
      <c r="A28" s="20" t="inlineStr">
        <is>
          <t>Round of 64</t>
        </is>
      </c>
      <c r="B28" s="21" t="inlineStr">
        <is>
          <t>(1) Michigan vs (16) Howard</t>
        </is>
      </c>
      <c r="C28" s="22">
        <f>Master_Results!D26</f>
        <v/>
      </c>
      <c r="D28" s="23">
        <f>Raman!D28</f>
        <v/>
      </c>
      <c r="E28" s="23">
        <f>Porter!D28</f>
        <v/>
      </c>
      <c r="F28" s="23">
        <f>Chuck!D28</f>
        <v/>
      </c>
      <c r="G28" s="23">
        <f>Shelly!D28</f>
        <v/>
      </c>
      <c r="H28" s="23">
        <f>Kim!D28</f>
        <v/>
      </c>
      <c r="I28" s="23">
        <f>Tucker!D28</f>
        <v/>
      </c>
    </row>
    <row r="29" ht="15.75" customHeight="1">
      <c r="A29" s="20" t="inlineStr">
        <is>
          <t>Round of 64</t>
        </is>
      </c>
      <c r="B29" s="21" t="inlineStr">
        <is>
          <t>(8) Georgia vs (9) St. Louis</t>
        </is>
      </c>
      <c r="C29" s="22">
        <f>Master_Results!D27</f>
        <v/>
      </c>
      <c r="D29" s="23">
        <f>Raman!D29</f>
        <v/>
      </c>
      <c r="E29" s="23">
        <f>Porter!D29</f>
        <v/>
      </c>
      <c r="F29" s="23">
        <f>Chuck!D29</f>
        <v/>
      </c>
      <c r="G29" s="23">
        <f>Shelly!D29</f>
        <v/>
      </c>
      <c r="H29" s="23">
        <f>Kim!D29</f>
        <v/>
      </c>
      <c r="I29" s="23">
        <f>Tucker!D29</f>
        <v/>
      </c>
    </row>
    <row r="30" ht="15.75" customHeight="1">
      <c r="A30" s="20" t="inlineStr">
        <is>
          <t>Round of 64</t>
        </is>
      </c>
      <c r="B30" s="21" t="inlineStr">
        <is>
          <t>(5) Texas Tech vs (12) Akron</t>
        </is>
      </c>
      <c r="C30" s="22">
        <f>Master_Results!D28</f>
        <v/>
      </c>
      <c r="D30" s="23">
        <f>Raman!D30</f>
        <v/>
      </c>
      <c r="E30" s="23">
        <f>Porter!D30</f>
        <v/>
      </c>
      <c r="F30" s="23">
        <f>Chuck!D30</f>
        <v/>
      </c>
      <c r="G30" s="23">
        <f>Shelly!D30</f>
        <v/>
      </c>
      <c r="H30" s="23">
        <f>Kim!D30</f>
        <v/>
      </c>
      <c r="I30" s="23">
        <f>Tucker!D30</f>
        <v/>
      </c>
    </row>
    <row r="31" ht="15.75" customHeight="1">
      <c r="A31" s="20" t="inlineStr">
        <is>
          <t>Round of 64</t>
        </is>
      </c>
      <c r="B31" s="21" t="inlineStr">
        <is>
          <t>(4) Alabama vs (13) Hofstra</t>
        </is>
      </c>
      <c r="C31" s="22">
        <f>Master_Results!D29</f>
        <v/>
      </c>
      <c r="D31" s="23">
        <f>Raman!D31</f>
        <v/>
      </c>
      <c r="E31" s="23">
        <f>Porter!D31</f>
        <v/>
      </c>
      <c r="F31" s="23">
        <f>Chuck!D31</f>
        <v/>
      </c>
      <c r="G31" s="23">
        <f>Shelly!D31</f>
        <v/>
      </c>
      <c r="H31" s="23">
        <f>Kim!D31</f>
        <v/>
      </c>
      <c r="I31" s="23">
        <f>Tucker!D31</f>
        <v/>
      </c>
    </row>
    <row r="32" ht="15.75" customHeight="1">
      <c r="A32" s="20" t="inlineStr">
        <is>
          <t>Round of 64</t>
        </is>
      </c>
      <c r="B32" s="21" t="inlineStr">
        <is>
          <t>(6) Tennessee vs (11) Miami (OH)</t>
        </is>
      </c>
      <c r="C32" s="22">
        <f>Master_Results!D30</f>
        <v/>
      </c>
      <c r="D32" s="23">
        <f>Raman!D32</f>
        <v/>
      </c>
      <c r="E32" s="23">
        <f>Porter!D32</f>
        <v/>
      </c>
      <c r="F32" s="23">
        <f>Chuck!D32</f>
        <v/>
      </c>
      <c r="G32" s="23">
        <f>Shelly!D32</f>
        <v/>
      </c>
      <c r="H32" s="23">
        <f>Kim!D32</f>
        <v/>
      </c>
      <c r="I32" s="23">
        <f>Tucker!D32</f>
        <v/>
      </c>
    </row>
    <row r="33" ht="15.75" customHeight="1">
      <c r="A33" s="20" t="inlineStr">
        <is>
          <t>Round of 64</t>
        </is>
      </c>
      <c r="B33" s="21" t="inlineStr">
        <is>
          <t>(3) Virginia vs (14) Wright St</t>
        </is>
      </c>
      <c r="C33" s="22">
        <f>Master_Results!D31</f>
        <v/>
      </c>
      <c r="D33" s="23">
        <f>Raman!D33</f>
        <v/>
      </c>
      <c r="E33" s="23">
        <f>Porter!D33</f>
        <v/>
      </c>
      <c r="F33" s="23">
        <f>Chuck!D33</f>
        <v/>
      </c>
      <c r="G33" s="23">
        <f>Shelly!D33</f>
        <v/>
      </c>
      <c r="H33" s="23">
        <f>Kim!D33</f>
        <v/>
      </c>
      <c r="I33" s="23">
        <f>Tucker!D33</f>
        <v/>
      </c>
    </row>
    <row r="34" ht="15.75" customHeight="1">
      <c r="A34" s="20" t="inlineStr">
        <is>
          <t>Round of 64</t>
        </is>
      </c>
      <c r="B34" s="21" t="inlineStr">
        <is>
          <t>(7) Kentucky vs (10) Santa Clara</t>
        </is>
      </c>
      <c r="C34" s="22">
        <f>Master_Results!D32</f>
        <v/>
      </c>
      <c r="D34" s="23">
        <f>Raman!D34</f>
        <v/>
      </c>
      <c r="E34" s="23">
        <f>Porter!D34</f>
        <v/>
      </c>
      <c r="F34" s="23">
        <f>Chuck!D34</f>
        <v/>
      </c>
      <c r="G34" s="23">
        <f>Shelly!D34</f>
        <v/>
      </c>
      <c r="H34" s="23">
        <f>Kim!D34</f>
        <v/>
      </c>
      <c r="I34" s="23">
        <f>Tucker!D34</f>
        <v/>
      </c>
    </row>
    <row r="35" ht="15.75" customHeight="1">
      <c r="A35" s="20" t="inlineStr">
        <is>
          <t>Round of 64</t>
        </is>
      </c>
      <c r="B35" s="21" t="inlineStr">
        <is>
          <t>(2) Iowa St vs (15) Tenn St</t>
        </is>
      </c>
      <c r="C35" s="22">
        <f>Master_Results!D33</f>
        <v/>
      </c>
      <c r="D35" s="23">
        <f>Raman!D35</f>
        <v/>
      </c>
      <c r="E35" s="23">
        <f>Porter!D35</f>
        <v/>
      </c>
      <c r="F35" s="23">
        <f>Chuck!D35</f>
        <v/>
      </c>
      <c r="G35" s="23">
        <f>Shelly!D35</f>
        <v/>
      </c>
      <c r="H35" s="23">
        <f>Kim!D35</f>
        <v/>
      </c>
      <c r="I35" s="23">
        <f>Tucker!D35</f>
        <v/>
      </c>
    </row>
    <row r="36" ht="18.75" customHeight="1">
      <c r="A36" s="10" t="inlineStr">
        <is>
          <t xml:space="preserve">  ▸  ROUND OF 32</t>
        </is>
      </c>
      <c r="I36" s="80" t="n"/>
    </row>
    <row r="37" ht="15.75" customHeight="1">
      <c r="A37" s="24" t="inlineStr">
        <is>
          <t>Round of 32</t>
        </is>
      </c>
      <c r="B37" s="25" t="inlineStr">
        <is>
          <t>Winner Game 1 &amp; 2</t>
        </is>
      </c>
      <c r="C37" s="26">
        <f>Master_Results!D34</f>
        <v/>
      </c>
      <c r="D37" s="27">
        <f>Raman!D37</f>
        <v/>
      </c>
      <c r="E37" s="27">
        <f>Porter!D37</f>
        <v/>
      </c>
      <c r="F37" s="27">
        <f>Chuck!D37</f>
        <v/>
      </c>
      <c r="G37" s="27">
        <f>Shelly!D37</f>
        <v/>
      </c>
      <c r="H37" s="27">
        <f>Kim!D37</f>
        <v/>
      </c>
      <c r="I37" s="27">
        <f>Tucker!D37</f>
        <v/>
      </c>
    </row>
    <row r="38" ht="15.75" customHeight="1">
      <c r="A38" s="24" t="inlineStr">
        <is>
          <t>Round of 32</t>
        </is>
      </c>
      <c r="B38" s="25" t="inlineStr">
        <is>
          <t>Winner Game 3 &amp; 4</t>
        </is>
      </c>
      <c r="C38" s="26">
        <f>Master_Results!D35</f>
        <v/>
      </c>
      <c r="D38" s="27">
        <f>Raman!D38</f>
        <v/>
      </c>
      <c r="E38" s="27">
        <f>Porter!D38</f>
        <v/>
      </c>
      <c r="F38" s="27">
        <f>Chuck!D38</f>
        <v/>
      </c>
      <c r="G38" s="27">
        <f>Shelly!D38</f>
        <v/>
      </c>
      <c r="H38" s="27">
        <f>Kim!D38</f>
        <v/>
      </c>
      <c r="I38" s="27">
        <f>Tucker!D38</f>
        <v/>
      </c>
    </row>
    <row r="39" ht="15.75" customHeight="1">
      <c r="A39" s="24" t="inlineStr">
        <is>
          <t>Round of 32</t>
        </is>
      </c>
      <c r="B39" s="25" t="inlineStr">
        <is>
          <t>Winner Game 5 &amp; 6</t>
        </is>
      </c>
      <c r="C39" s="26">
        <f>Master_Results!D36</f>
        <v/>
      </c>
      <c r="D39" s="27">
        <f>Raman!D39</f>
        <v/>
      </c>
      <c r="E39" s="27">
        <f>Porter!D39</f>
        <v/>
      </c>
      <c r="F39" s="27">
        <f>Chuck!D39</f>
        <v/>
      </c>
      <c r="G39" s="27">
        <f>Shelly!D39</f>
        <v/>
      </c>
      <c r="H39" s="27">
        <f>Kim!D39</f>
        <v/>
      </c>
      <c r="I39" s="27">
        <f>Tucker!D39</f>
        <v/>
      </c>
    </row>
    <row r="40" ht="15.75" customHeight="1">
      <c r="A40" s="24" t="inlineStr">
        <is>
          <t>Round of 32</t>
        </is>
      </c>
      <c r="B40" s="25" t="inlineStr">
        <is>
          <t>Winner Game 7 &amp; 8</t>
        </is>
      </c>
      <c r="C40" s="26">
        <f>Master_Results!D37</f>
        <v/>
      </c>
      <c r="D40" s="27">
        <f>Raman!D40</f>
        <v/>
      </c>
      <c r="E40" s="27">
        <f>Porter!D40</f>
        <v/>
      </c>
      <c r="F40" s="27">
        <f>Chuck!D40</f>
        <v/>
      </c>
      <c r="G40" s="27">
        <f>Shelly!D40</f>
        <v/>
      </c>
      <c r="H40" s="27">
        <f>Kim!D40</f>
        <v/>
      </c>
      <c r="I40" s="27">
        <f>Tucker!D40</f>
        <v/>
      </c>
    </row>
    <row r="41" ht="15.75" customHeight="1">
      <c r="A41" s="24" t="inlineStr">
        <is>
          <t>Round of 32</t>
        </is>
      </c>
      <c r="B41" s="25" t="inlineStr">
        <is>
          <t>Winner Game 9 &amp; 10</t>
        </is>
      </c>
      <c r="C41" s="26">
        <f>Master_Results!D38</f>
        <v/>
      </c>
      <c r="D41" s="27">
        <f>Raman!D41</f>
        <v/>
      </c>
      <c r="E41" s="27">
        <f>Porter!D41</f>
        <v/>
      </c>
      <c r="F41" s="27">
        <f>Chuck!D41</f>
        <v/>
      </c>
      <c r="G41" s="27">
        <f>Shelly!D41</f>
        <v/>
      </c>
      <c r="H41" s="27">
        <f>Kim!D41</f>
        <v/>
      </c>
      <c r="I41" s="27">
        <f>Tucker!D41</f>
        <v/>
      </c>
    </row>
    <row r="42" ht="15.75" customHeight="1">
      <c r="A42" s="24" t="inlineStr">
        <is>
          <t>Round of 32</t>
        </is>
      </c>
      <c r="B42" s="25" t="inlineStr">
        <is>
          <t>Winner Game 11 &amp; 12</t>
        </is>
      </c>
      <c r="C42" s="26">
        <f>Master_Results!D39</f>
        <v/>
      </c>
      <c r="D42" s="27">
        <f>Raman!D42</f>
        <v/>
      </c>
      <c r="E42" s="27">
        <f>Porter!D42</f>
        <v/>
      </c>
      <c r="F42" s="27">
        <f>Chuck!D42</f>
        <v/>
      </c>
      <c r="G42" s="27">
        <f>Shelly!D42</f>
        <v/>
      </c>
      <c r="H42" s="27">
        <f>Kim!D42</f>
        <v/>
      </c>
      <c r="I42" s="27">
        <f>Tucker!D42</f>
        <v/>
      </c>
    </row>
    <row r="43" ht="15.75" customHeight="1">
      <c r="A43" s="24" t="inlineStr">
        <is>
          <t>Round of 32</t>
        </is>
      </c>
      <c r="B43" s="25" t="inlineStr">
        <is>
          <t>Winner Game 13 &amp; 14</t>
        </is>
      </c>
      <c r="C43" s="26">
        <f>Master_Results!D40</f>
        <v/>
      </c>
      <c r="D43" s="27">
        <f>Raman!D43</f>
        <v/>
      </c>
      <c r="E43" s="27">
        <f>Porter!D43</f>
        <v/>
      </c>
      <c r="F43" s="27">
        <f>Chuck!D43</f>
        <v/>
      </c>
      <c r="G43" s="27">
        <f>Shelly!D43</f>
        <v/>
      </c>
      <c r="H43" s="27">
        <f>Kim!D43</f>
        <v/>
      </c>
      <c r="I43" s="27">
        <f>Tucker!D43</f>
        <v/>
      </c>
    </row>
    <row r="44" ht="15.75" customHeight="1">
      <c r="A44" s="24" t="inlineStr">
        <is>
          <t>Round of 32</t>
        </is>
      </c>
      <c r="B44" s="25" t="inlineStr">
        <is>
          <t>Winner Game 15 &amp; 16</t>
        </is>
      </c>
      <c r="C44" s="26">
        <f>Master_Results!D41</f>
        <v/>
      </c>
      <c r="D44" s="27">
        <f>Raman!D44</f>
        <v/>
      </c>
      <c r="E44" s="27">
        <f>Porter!D44</f>
        <v/>
      </c>
      <c r="F44" s="27">
        <f>Chuck!D44</f>
        <v/>
      </c>
      <c r="G44" s="27">
        <f>Shelly!D44</f>
        <v/>
      </c>
      <c r="H44" s="27">
        <f>Kim!D44</f>
        <v/>
      </c>
      <c r="I44" s="27">
        <f>Tucker!D44</f>
        <v/>
      </c>
    </row>
    <row r="45" ht="15.75" customHeight="1">
      <c r="A45" s="24" t="inlineStr">
        <is>
          <t>Round of 32</t>
        </is>
      </c>
      <c r="B45" s="25" t="inlineStr">
        <is>
          <t>Winner Game 17 &amp; 18</t>
        </is>
      </c>
      <c r="C45" s="26">
        <f>Master_Results!D42</f>
        <v/>
      </c>
      <c r="D45" s="27">
        <f>Raman!D45</f>
        <v/>
      </c>
      <c r="E45" s="27">
        <f>Porter!D45</f>
        <v/>
      </c>
      <c r="F45" s="27">
        <f>Chuck!D45</f>
        <v/>
      </c>
      <c r="G45" s="27">
        <f>Shelly!D45</f>
        <v/>
      </c>
      <c r="H45" s="27">
        <f>Kim!D45</f>
        <v/>
      </c>
      <c r="I45" s="27">
        <f>Tucker!D45</f>
        <v/>
      </c>
    </row>
    <row r="46" ht="15.75" customHeight="1">
      <c r="A46" s="24" t="inlineStr">
        <is>
          <t>Round of 32</t>
        </is>
      </c>
      <c r="B46" s="25" t="inlineStr">
        <is>
          <t>Winner Game 19 &amp; 20</t>
        </is>
      </c>
      <c r="C46" s="26">
        <f>Master_Results!D43</f>
        <v/>
      </c>
      <c r="D46" s="27">
        <f>Raman!D46</f>
        <v/>
      </c>
      <c r="E46" s="27">
        <f>Porter!D46</f>
        <v/>
      </c>
      <c r="F46" s="27">
        <f>Chuck!D46</f>
        <v/>
      </c>
      <c r="G46" s="27">
        <f>Shelly!D46</f>
        <v/>
      </c>
      <c r="H46" s="27">
        <f>Kim!D46</f>
        <v/>
      </c>
      <c r="I46" s="27">
        <f>Tucker!D46</f>
        <v/>
      </c>
    </row>
    <row r="47" ht="15.75" customHeight="1">
      <c r="A47" s="24" t="inlineStr">
        <is>
          <t>Round of 32</t>
        </is>
      </c>
      <c r="B47" s="25" t="inlineStr">
        <is>
          <t>Winner Game 21 &amp; 22</t>
        </is>
      </c>
      <c r="C47" s="26">
        <f>Master_Results!D44</f>
        <v/>
      </c>
      <c r="D47" s="27">
        <f>Raman!D47</f>
        <v/>
      </c>
      <c r="E47" s="27">
        <f>Porter!D47</f>
        <v/>
      </c>
      <c r="F47" s="27">
        <f>Chuck!D47</f>
        <v/>
      </c>
      <c r="G47" s="27">
        <f>Shelly!D47</f>
        <v/>
      </c>
      <c r="H47" s="27">
        <f>Kim!D47</f>
        <v/>
      </c>
      <c r="I47" s="27">
        <f>Tucker!D47</f>
        <v/>
      </c>
    </row>
    <row r="48" ht="15.75" customHeight="1">
      <c r="A48" s="24" t="inlineStr">
        <is>
          <t>Round of 32</t>
        </is>
      </c>
      <c r="B48" s="25" t="inlineStr">
        <is>
          <t>Winner Game 23 &amp; 24</t>
        </is>
      </c>
      <c r="C48" s="26">
        <f>Master_Results!D45</f>
        <v/>
      </c>
      <c r="D48" s="27">
        <f>Raman!D48</f>
        <v/>
      </c>
      <c r="E48" s="27">
        <f>Porter!D48</f>
        <v/>
      </c>
      <c r="F48" s="27">
        <f>Chuck!D48</f>
        <v/>
      </c>
      <c r="G48" s="27">
        <f>Shelly!D48</f>
        <v/>
      </c>
      <c r="H48" s="27">
        <f>Kim!D48</f>
        <v/>
      </c>
      <c r="I48" s="27">
        <f>Tucker!D48</f>
        <v/>
      </c>
    </row>
    <row r="49" ht="15.75" customHeight="1">
      <c r="A49" s="24" t="inlineStr">
        <is>
          <t>Round of 32</t>
        </is>
      </c>
      <c r="B49" s="25" t="inlineStr">
        <is>
          <t>Winner Game 25 &amp; 26</t>
        </is>
      </c>
      <c r="C49" s="26">
        <f>Master_Results!D46</f>
        <v/>
      </c>
      <c r="D49" s="27">
        <f>Raman!D49</f>
        <v/>
      </c>
      <c r="E49" s="27">
        <f>Porter!D49</f>
        <v/>
      </c>
      <c r="F49" s="27">
        <f>Chuck!D49</f>
        <v/>
      </c>
      <c r="G49" s="27">
        <f>Shelly!D49</f>
        <v/>
      </c>
      <c r="H49" s="27">
        <f>Kim!D49</f>
        <v/>
      </c>
      <c r="I49" s="27">
        <f>Tucker!D49</f>
        <v/>
      </c>
    </row>
    <row r="50" ht="15.75" customHeight="1">
      <c r="A50" s="24" t="inlineStr">
        <is>
          <t>Round of 32</t>
        </is>
      </c>
      <c r="B50" s="25" t="inlineStr">
        <is>
          <t>Winner Game 27 &amp; 28</t>
        </is>
      </c>
      <c r="C50" s="26">
        <f>Master_Results!D47</f>
        <v/>
      </c>
      <c r="D50" s="27">
        <f>Raman!D50</f>
        <v/>
      </c>
      <c r="E50" s="27">
        <f>Porter!D50</f>
        <v/>
      </c>
      <c r="F50" s="27">
        <f>Chuck!D50</f>
        <v/>
      </c>
      <c r="G50" s="27">
        <f>Shelly!D50</f>
        <v/>
      </c>
      <c r="H50" s="27">
        <f>Kim!D50</f>
        <v/>
      </c>
      <c r="I50" s="27">
        <f>Tucker!D50</f>
        <v/>
      </c>
    </row>
    <row r="51" ht="15.75" customHeight="1">
      <c r="A51" s="24" t="inlineStr">
        <is>
          <t>Round of 32</t>
        </is>
      </c>
      <c r="B51" s="25" t="inlineStr">
        <is>
          <t>Winner Game 29 &amp; 30</t>
        </is>
      </c>
      <c r="C51" s="26">
        <f>Master_Results!D48</f>
        <v/>
      </c>
      <c r="D51" s="27">
        <f>Raman!D51</f>
        <v/>
      </c>
      <c r="E51" s="27">
        <f>Porter!D51</f>
        <v/>
      </c>
      <c r="F51" s="27">
        <f>Chuck!D51</f>
        <v/>
      </c>
      <c r="G51" s="27">
        <f>Shelly!D51</f>
        <v/>
      </c>
      <c r="H51" s="27">
        <f>Kim!D51</f>
        <v/>
      </c>
      <c r="I51" s="27">
        <f>Tucker!D51</f>
        <v/>
      </c>
    </row>
    <row r="52" ht="15.75" customHeight="1">
      <c r="A52" s="24" t="inlineStr">
        <is>
          <t>Round of 32</t>
        </is>
      </c>
      <c r="B52" s="25" t="inlineStr">
        <is>
          <t>Winner Game 31 &amp; 32</t>
        </is>
      </c>
      <c r="C52" s="26">
        <f>Master_Results!D49</f>
        <v/>
      </c>
      <c r="D52" s="27">
        <f>Raman!D52</f>
        <v/>
      </c>
      <c r="E52" s="27">
        <f>Porter!D52</f>
        <v/>
      </c>
      <c r="F52" s="27">
        <f>Chuck!D52</f>
        <v/>
      </c>
      <c r="G52" s="27">
        <f>Shelly!D52</f>
        <v/>
      </c>
      <c r="H52" s="27">
        <f>Kim!D52</f>
        <v/>
      </c>
      <c r="I52" s="27">
        <f>Tucker!D52</f>
        <v/>
      </c>
    </row>
    <row r="53" ht="18.75" customHeight="1">
      <c r="A53" s="9" t="inlineStr">
        <is>
          <t xml:space="preserve">  ▸  SWEET 16</t>
        </is>
      </c>
      <c r="I53" s="80" t="n"/>
    </row>
    <row r="54" ht="15.75" customHeight="1">
      <c r="A54" s="28" t="inlineStr">
        <is>
          <t>Sweet 16</t>
        </is>
      </c>
      <c r="B54" s="29" t="inlineStr">
        <is>
          <t>Winner Game 1 &amp; 2</t>
        </is>
      </c>
      <c r="C54" s="30">
        <f>Master_Results!D50</f>
        <v/>
      </c>
      <c r="D54" s="31">
        <f>Raman!D54</f>
        <v/>
      </c>
      <c r="E54" s="31">
        <f>Porter!D54</f>
        <v/>
      </c>
      <c r="F54" s="31">
        <f>Chuck!D54</f>
        <v/>
      </c>
      <c r="G54" s="31">
        <f>Shelly!D54</f>
        <v/>
      </c>
      <c r="H54" s="31">
        <f>Kim!D54</f>
        <v/>
      </c>
      <c r="I54" s="31">
        <f>Tucker!D54</f>
        <v/>
      </c>
    </row>
    <row r="55" ht="15.75" customHeight="1">
      <c r="A55" s="28" t="inlineStr">
        <is>
          <t>Sweet 16</t>
        </is>
      </c>
      <c r="B55" s="29" t="inlineStr">
        <is>
          <t>Winner Game 3 &amp; 4</t>
        </is>
      </c>
      <c r="C55" s="30">
        <f>Master_Results!D51</f>
        <v/>
      </c>
      <c r="D55" s="31">
        <f>Raman!D55</f>
        <v/>
      </c>
      <c r="E55" s="31">
        <f>Porter!D55</f>
        <v/>
      </c>
      <c r="F55" s="31">
        <f>Chuck!D55</f>
        <v/>
      </c>
      <c r="G55" s="31">
        <f>Shelly!D55</f>
        <v/>
      </c>
      <c r="H55" s="31">
        <f>Kim!D55</f>
        <v/>
      </c>
      <c r="I55" s="31">
        <f>Tucker!D55</f>
        <v/>
      </c>
    </row>
    <row r="56" ht="15.75" customHeight="1">
      <c r="A56" s="28" t="inlineStr">
        <is>
          <t>Sweet 16</t>
        </is>
      </c>
      <c r="B56" s="29" t="inlineStr">
        <is>
          <t>Winner Game 5 &amp; 6</t>
        </is>
      </c>
      <c r="C56" s="30">
        <f>Master_Results!D52</f>
        <v/>
      </c>
      <c r="D56" s="31">
        <f>Raman!D56</f>
        <v/>
      </c>
      <c r="E56" s="31">
        <f>Porter!D56</f>
        <v/>
      </c>
      <c r="F56" s="31">
        <f>Chuck!D56</f>
        <v/>
      </c>
      <c r="G56" s="31">
        <f>Shelly!D56</f>
        <v/>
      </c>
      <c r="H56" s="31">
        <f>Kim!D56</f>
        <v/>
      </c>
      <c r="I56" s="31">
        <f>Tucker!D56</f>
        <v/>
      </c>
    </row>
    <row r="57" ht="15.75" customHeight="1">
      <c r="A57" s="28" t="inlineStr">
        <is>
          <t>Sweet 16</t>
        </is>
      </c>
      <c r="B57" s="29" t="inlineStr">
        <is>
          <t>Winner Game 7 &amp; 8</t>
        </is>
      </c>
      <c r="C57" s="30">
        <f>Master_Results!D53</f>
        <v/>
      </c>
      <c r="D57" s="31">
        <f>Raman!D57</f>
        <v/>
      </c>
      <c r="E57" s="31">
        <f>Porter!D57</f>
        <v/>
      </c>
      <c r="F57" s="31">
        <f>Chuck!D57</f>
        <v/>
      </c>
      <c r="G57" s="31">
        <f>Shelly!D57</f>
        <v/>
      </c>
      <c r="H57" s="31">
        <f>Kim!D57</f>
        <v/>
      </c>
      <c r="I57" s="31">
        <f>Tucker!D57</f>
        <v/>
      </c>
    </row>
    <row r="58" ht="15.75" customHeight="1">
      <c r="A58" s="28" t="inlineStr">
        <is>
          <t>Sweet 16</t>
        </is>
      </c>
      <c r="B58" s="29" t="inlineStr">
        <is>
          <t>Winner Game 9 &amp; 10</t>
        </is>
      </c>
      <c r="C58" s="30">
        <f>Master_Results!D54</f>
        <v/>
      </c>
      <c r="D58" s="31">
        <f>Raman!D58</f>
        <v/>
      </c>
      <c r="E58" s="31">
        <f>Porter!D58</f>
        <v/>
      </c>
      <c r="F58" s="31">
        <f>Chuck!D58</f>
        <v/>
      </c>
      <c r="G58" s="31">
        <f>Shelly!D58</f>
        <v/>
      </c>
      <c r="H58" s="31">
        <f>Kim!D58</f>
        <v/>
      </c>
      <c r="I58" s="31">
        <f>Tucker!D58</f>
        <v/>
      </c>
    </row>
    <row r="59" ht="15.75" customHeight="1">
      <c r="A59" s="28" t="inlineStr">
        <is>
          <t>Sweet 16</t>
        </is>
      </c>
      <c r="B59" s="29" t="inlineStr">
        <is>
          <t>Winner Game 11 &amp; 12</t>
        </is>
      </c>
      <c r="C59" s="30">
        <f>Master_Results!D55</f>
        <v/>
      </c>
      <c r="D59" s="31">
        <f>Raman!D59</f>
        <v/>
      </c>
      <c r="E59" s="31">
        <f>Porter!D59</f>
        <v/>
      </c>
      <c r="F59" s="31">
        <f>Chuck!D59</f>
        <v/>
      </c>
      <c r="G59" s="31">
        <f>Shelly!D59</f>
        <v/>
      </c>
      <c r="H59" s="31">
        <f>Kim!D59</f>
        <v/>
      </c>
      <c r="I59" s="31">
        <f>Tucker!D59</f>
        <v/>
      </c>
    </row>
    <row r="60" ht="15.75" customHeight="1">
      <c r="A60" s="28" t="inlineStr">
        <is>
          <t>Sweet 16</t>
        </is>
      </c>
      <c r="B60" s="29" t="inlineStr">
        <is>
          <t>Winner Game 13 &amp; 14</t>
        </is>
      </c>
      <c r="C60" s="30">
        <f>Master_Results!D56</f>
        <v/>
      </c>
      <c r="D60" s="31">
        <f>Raman!D60</f>
        <v/>
      </c>
      <c r="E60" s="31">
        <f>Porter!D60</f>
        <v/>
      </c>
      <c r="F60" s="31">
        <f>Chuck!D60</f>
        <v/>
      </c>
      <c r="G60" s="31">
        <f>Shelly!D60</f>
        <v/>
      </c>
      <c r="H60" s="31">
        <f>Kim!D60</f>
        <v/>
      </c>
      <c r="I60" s="31">
        <f>Tucker!D60</f>
        <v/>
      </c>
    </row>
    <row r="61" ht="15.75" customHeight="1">
      <c r="A61" s="28" t="inlineStr">
        <is>
          <t>Sweet 16</t>
        </is>
      </c>
      <c r="B61" s="29" t="inlineStr">
        <is>
          <t>Winner Game 15 &amp; 16</t>
        </is>
      </c>
      <c r="C61" s="30">
        <f>Master_Results!D57</f>
        <v/>
      </c>
      <c r="D61" s="31">
        <f>Raman!D61</f>
        <v/>
      </c>
      <c r="E61" s="31">
        <f>Porter!D61</f>
        <v/>
      </c>
      <c r="F61" s="31">
        <f>Chuck!D61</f>
        <v/>
      </c>
      <c r="G61" s="31">
        <f>Shelly!D61</f>
        <v/>
      </c>
      <c r="H61" s="31">
        <f>Kim!D61</f>
        <v/>
      </c>
      <c r="I61" s="31">
        <f>Tucker!D61</f>
        <v/>
      </c>
    </row>
    <row r="62" ht="18.75" customHeight="1">
      <c r="A62" s="8" t="inlineStr">
        <is>
          <t xml:space="preserve">  ▸  ELITE 8</t>
        </is>
      </c>
      <c r="I62" s="80" t="n"/>
    </row>
    <row r="63" ht="15.75" customHeight="1">
      <c r="A63" s="32" t="inlineStr">
        <is>
          <t>Elite 8</t>
        </is>
      </c>
      <c r="B63" s="33" t="inlineStr">
        <is>
          <t>Winner Game 1 &amp; 2</t>
        </is>
      </c>
      <c r="C63" s="34">
        <f>Master_Results!D58</f>
        <v/>
      </c>
      <c r="D63" s="35">
        <f>Raman!D63</f>
        <v/>
      </c>
      <c r="E63" s="35">
        <f>Porter!D63</f>
        <v/>
      </c>
      <c r="F63" s="35">
        <f>Chuck!D63</f>
        <v/>
      </c>
      <c r="G63" s="35">
        <f>Shelly!D63</f>
        <v/>
      </c>
      <c r="H63" s="35">
        <f>Kim!D63</f>
        <v/>
      </c>
      <c r="I63" s="35">
        <f>Tucker!D63</f>
        <v/>
      </c>
    </row>
    <row r="64" ht="15.75" customHeight="1">
      <c r="A64" s="32" t="inlineStr">
        <is>
          <t>Elite 8</t>
        </is>
      </c>
      <c r="B64" s="33" t="inlineStr">
        <is>
          <t>Winner Game 3 &amp; 4</t>
        </is>
      </c>
      <c r="C64" s="34">
        <f>Master_Results!D59</f>
        <v/>
      </c>
      <c r="D64" s="35">
        <f>Raman!D64</f>
        <v/>
      </c>
      <c r="E64" s="35">
        <f>Porter!D64</f>
        <v/>
      </c>
      <c r="F64" s="35">
        <f>Chuck!D64</f>
        <v/>
      </c>
      <c r="G64" s="35">
        <f>Shelly!D64</f>
        <v/>
      </c>
      <c r="H64" s="35">
        <f>Kim!D64</f>
        <v/>
      </c>
      <c r="I64" s="35">
        <f>Tucker!D64</f>
        <v/>
      </c>
    </row>
    <row r="65" ht="15.75" customHeight="1">
      <c r="A65" s="32" t="inlineStr">
        <is>
          <t>Elite 8</t>
        </is>
      </c>
      <c r="B65" s="33" t="inlineStr">
        <is>
          <t>Winner Game 5 &amp; 6</t>
        </is>
      </c>
      <c r="C65" s="34">
        <f>Master_Results!D60</f>
        <v/>
      </c>
      <c r="D65" s="35">
        <f>Raman!D65</f>
        <v/>
      </c>
      <c r="E65" s="35">
        <f>Porter!D65</f>
        <v/>
      </c>
      <c r="F65" s="35">
        <f>Chuck!D65</f>
        <v/>
      </c>
      <c r="G65" s="35">
        <f>Shelly!D65</f>
        <v/>
      </c>
      <c r="H65" s="35">
        <f>Kim!D65</f>
        <v/>
      </c>
      <c r="I65" s="35">
        <f>Tucker!D65</f>
        <v/>
      </c>
    </row>
    <row r="66" ht="15.75" customHeight="1">
      <c r="A66" s="32" t="inlineStr">
        <is>
          <t>Elite 8</t>
        </is>
      </c>
      <c r="B66" s="33" t="inlineStr">
        <is>
          <t>Winner Game 7 &amp; 8</t>
        </is>
      </c>
      <c r="C66" s="34">
        <f>Master_Results!D61</f>
        <v/>
      </c>
      <c r="D66" s="35">
        <f>Raman!D66</f>
        <v/>
      </c>
      <c r="E66" s="35">
        <f>Porter!D66</f>
        <v/>
      </c>
      <c r="F66" s="35">
        <f>Chuck!D66</f>
        <v/>
      </c>
      <c r="G66" s="35">
        <f>Shelly!D66</f>
        <v/>
      </c>
      <c r="H66" s="35">
        <f>Kim!D66</f>
        <v/>
      </c>
      <c r="I66" s="35">
        <f>Tucker!D66</f>
        <v/>
      </c>
    </row>
    <row r="67" ht="18.75" customHeight="1">
      <c r="A67" s="7" t="inlineStr">
        <is>
          <t xml:space="preserve">  ▸  FINAL 4</t>
        </is>
      </c>
      <c r="I67" s="80" t="n"/>
    </row>
    <row r="68" ht="15.75" customHeight="1">
      <c r="A68" s="36" t="inlineStr">
        <is>
          <t>Final 4</t>
        </is>
      </c>
      <c r="B68" s="37" t="inlineStr">
        <is>
          <t>Winner Game 1 &amp; 2</t>
        </is>
      </c>
      <c r="C68" s="38">
        <f>Master_Results!D62</f>
        <v/>
      </c>
      <c r="D68" s="39">
        <f>Raman!D68</f>
        <v/>
      </c>
      <c r="E68" s="39">
        <f>Porter!D68</f>
        <v/>
      </c>
      <c r="F68" s="39">
        <f>Chuck!D68</f>
        <v/>
      </c>
      <c r="G68" s="39">
        <f>Shelly!D68</f>
        <v/>
      </c>
      <c r="H68" s="39">
        <f>Kim!D68</f>
        <v/>
      </c>
      <c r="I68" s="39">
        <f>Tucker!D68</f>
        <v/>
      </c>
    </row>
    <row r="69" ht="15.75" customHeight="1">
      <c r="A69" s="36" t="inlineStr">
        <is>
          <t>Final 4</t>
        </is>
      </c>
      <c r="B69" s="37" t="inlineStr">
        <is>
          <t>Winner Game 3 &amp; 4</t>
        </is>
      </c>
      <c r="C69" s="38">
        <f>Master_Results!D63</f>
        <v/>
      </c>
      <c r="D69" s="39">
        <f>Raman!D69</f>
        <v/>
      </c>
      <c r="E69" s="39">
        <f>Porter!D69</f>
        <v/>
      </c>
      <c r="F69" s="39">
        <f>Chuck!D69</f>
        <v/>
      </c>
      <c r="G69" s="39">
        <f>Shelly!D69</f>
        <v/>
      </c>
      <c r="H69" s="39">
        <f>Kim!D69</f>
        <v/>
      </c>
      <c r="I69" s="39">
        <f>Tucker!D69</f>
        <v/>
      </c>
    </row>
    <row r="70" ht="18.75" customHeight="1">
      <c r="A70" s="6" t="inlineStr">
        <is>
          <t xml:space="preserve">  ▸  CHAMPIONSHIP</t>
        </is>
      </c>
      <c r="I70" s="80" t="n"/>
    </row>
    <row r="71" ht="15.75" customHeight="1">
      <c r="A71" s="40" t="inlineStr">
        <is>
          <t>Championship</t>
        </is>
      </c>
      <c r="B71" s="41" t="inlineStr">
        <is>
          <t>Winner Game 1 &amp; 2</t>
        </is>
      </c>
      <c r="C71" s="42">
        <f>Master_Results!D64</f>
        <v/>
      </c>
      <c r="D71" s="43">
        <f>Raman!D71</f>
        <v/>
      </c>
      <c r="E71" s="43">
        <f>Porter!D71</f>
        <v/>
      </c>
      <c r="F71" s="43">
        <f>Chuck!D71</f>
        <v/>
      </c>
      <c r="G71" s="43">
        <f>Shelly!D71</f>
        <v/>
      </c>
      <c r="H71" s="43">
        <f>Kim!D71</f>
        <v/>
      </c>
      <c r="I71" s="43">
        <f>Tucker!D71</f>
        <v/>
      </c>
    </row>
  </sheetData>
  <mergeCells count="7">
    <mergeCell ref="A1:J1"/>
    <mergeCell ref="A36:I36"/>
    <mergeCell ref="A70:I70"/>
    <mergeCell ref="A67:I67"/>
    <mergeCell ref="A3:I3"/>
    <mergeCell ref="A53:I53"/>
    <mergeCell ref="A62:I62"/>
  </mergeCells>
  <conditionalFormatting sqref="C3:C71">
    <cfRule type="expression" priority="4" dxfId="4">
      <formula>$C3&lt;&gt;""</formula>
    </cfRule>
  </conditionalFormatting>
  <conditionalFormatting sqref="D3:I71">
    <cfRule type="expression" priority="2" dxfId="4">
      <formula>AND($C3&lt;&gt;"",D3=$C3)</formula>
    </cfRule>
    <cfRule type="expression" priority="3" dxfId="3">
      <formula>AND($C3&lt;&gt;"",D3&lt;&gt;$C3)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TUCKER'S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TCU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St. John's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South Florida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UCF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Iowa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VCU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St. Mary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Wisconsin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Miami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Georgia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Texas Tech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Kentucky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Kansas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UConn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Nebraska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Illinois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Wisconsin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BYU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Alabama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Virginia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Iowa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UConn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Florida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Illinois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Purdue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Virginia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Duke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Illinois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Purdue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Michigan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Duke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Michigan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Duke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KIM'S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TCU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St. John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Louisville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UCF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Iowa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North Carolina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Texas A&amp;M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Wisconsin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Missouri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Georgia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Texas Tech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Kentucky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 State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Kansas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UConn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Nebraska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North Carolina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Arkansas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BYU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Texas Tech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Tennessee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Iowa State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UConn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North Carolina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Houston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Purdue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Alabama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UConn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North Carolina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Arizona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Michigan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UConn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Arizona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Arizona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SHELLY'S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TCU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St. John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Louisville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Michigan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UCLA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Clemson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VCU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St. Mary's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Wisconsin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Miami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Georgia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Akron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Kentucky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 State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Kansas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Michigan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UConn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Nebraska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VCU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Arkansas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BYU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Alabama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Tennessee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Kentucky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Michigan St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Florida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Houston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Purdue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Alabama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Duke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Houston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Arizona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Alabama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Duke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Alabama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Duke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CHUCK'S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Ohio State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St. John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Louisville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UCF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Iowa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North Carolina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St. Mary's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Wisconsin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Miami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St. Louis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Texas Tech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Kentucky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 State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Kansas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UConn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Vandy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Nebraska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Arkansas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Gonzaga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Alabama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Tennessee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Iowa State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UConn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Florida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Houston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Gonzaga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Alabama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Duke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Houston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Arizona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Michigan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Duke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Arizona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Duke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PORTER'S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Ohio State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Northern Iowa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South Florida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UCLA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Clemson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North Carolina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St. Mary's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High Point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Miami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Georgia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Texas Tech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Santa Clara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 State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Kansas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UConn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Vandy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Nebraska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Arkansas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Gonzaga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Alabama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Tennessee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Iowa State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UConn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Florida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Houston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Purdue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Alabama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UConn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Houston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Purdue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Alabama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UConn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Purdue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UConn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18" customWidth="1" min="4" max="4"/>
    <col width="9" customWidth="1" min="5" max="5"/>
    <col width="10" customWidth="1" min="6" max="6"/>
    <col width="11" customWidth="1" min="7" max="7"/>
    <col width="12" customWidth="1" min="8" max="8"/>
  </cols>
  <sheetData>
    <row r="1" ht="30" customHeight="1">
      <c r="A1" s="5" t="inlineStr">
        <is>
          <t>🏀  RAMAN'S 2026 MARCH MADNESS BRACKET</t>
        </is>
      </c>
    </row>
    <row r="2" ht="21.7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Pick</t>
        </is>
      </c>
      <c r="E2" s="44" t="inlineStr">
        <is>
          <t>Pts Value</t>
        </is>
      </c>
      <c r="F2" s="44" t="inlineStr">
        <is>
          <t>Result</t>
        </is>
      </c>
      <c r="G2" s="44" t="inlineStr">
        <is>
          <t>Pts Earned</t>
        </is>
      </c>
      <c r="H2" s="45" t="n"/>
    </row>
    <row r="3" ht="19.5" customHeight="1">
      <c r="A3" s="11" t="inlineStr">
        <is>
          <t xml:space="preserve">  ▸  ROUND OF 64  •  1 pt each</t>
        </is>
      </c>
      <c r="H3" s="80" t="n"/>
    </row>
    <row r="4" ht="15.75" customHeight="1">
      <c r="A4" s="20" t="inlineStr">
        <is>
          <t>Round of 64</t>
        </is>
      </c>
      <c r="B4" s="46" t="inlineStr">
        <is>
          <t>R64_G1</t>
        </is>
      </c>
      <c r="C4" s="21" t="inlineStr">
        <is>
          <t>(1) Duke vs (16) Siena</t>
        </is>
      </c>
      <c r="D4" s="47" t="inlineStr">
        <is>
          <t>Duke</t>
        </is>
      </c>
      <c r="E4" s="48" t="n">
        <v>1</v>
      </c>
      <c r="F4" s="23">
        <f>IF(Master_Results!$D$4="","",IF(D4=Master_Results!$D$4,1,0))</f>
        <v/>
      </c>
      <c r="G4" s="23">
        <f>IF(F4="","",E4*F4)</f>
        <v/>
      </c>
    </row>
    <row r="5" ht="15.75" customHeight="1">
      <c r="A5" s="20" t="inlineStr">
        <is>
          <t>Round of 64</t>
        </is>
      </c>
      <c r="B5" s="46" t="inlineStr">
        <is>
          <t>R64_G2</t>
        </is>
      </c>
      <c r="C5" s="21" t="inlineStr">
        <is>
          <t>(8) Ohio St vs (9) TCU</t>
        </is>
      </c>
      <c r="D5" s="47" t="inlineStr">
        <is>
          <t>TCU</t>
        </is>
      </c>
      <c r="E5" s="48" t="n">
        <v>1</v>
      </c>
      <c r="F5" s="23">
        <f>IF(Master_Results!$D$5="","",IF(D5=Master_Results!$D$5,1,0))</f>
        <v/>
      </c>
      <c r="G5" s="23">
        <f>IF(F5="","",E5*F5)</f>
        <v/>
      </c>
    </row>
    <row r="6" ht="15.75" customHeight="1">
      <c r="A6" s="20" t="inlineStr">
        <is>
          <t>Round of 64</t>
        </is>
      </c>
      <c r="B6" s="46" t="inlineStr">
        <is>
          <t>R64_G3</t>
        </is>
      </c>
      <c r="C6" s="21" t="inlineStr">
        <is>
          <t>(5) St. John's vs (12) Northern Iowa</t>
        </is>
      </c>
      <c r="D6" s="47" t="inlineStr">
        <is>
          <t>St. John</t>
        </is>
      </c>
      <c r="E6" s="48" t="n">
        <v>1</v>
      </c>
      <c r="F6" s="23">
        <f>IF(Master_Results!$D$6="","",IF(D6=Master_Results!$D$6,1,0))</f>
        <v/>
      </c>
      <c r="G6" s="23">
        <f>IF(F6="","",E6*F6)</f>
        <v/>
      </c>
    </row>
    <row r="7" ht="15.75" customHeight="1">
      <c r="A7" s="20" t="inlineStr">
        <is>
          <t>Round of 64</t>
        </is>
      </c>
      <c r="B7" s="46" t="inlineStr">
        <is>
          <t>R64_G4</t>
        </is>
      </c>
      <c r="C7" s="21" t="inlineStr">
        <is>
          <t>(4) Kansas vs (13) Cal Baptist</t>
        </is>
      </c>
      <c r="D7" s="47" t="inlineStr">
        <is>
          <t>Kansas</t>
        </is>
      </c>
      <c r="E7" s="48" t="n">
        <v>1</v>
      </c>
      <c r="F7" s="23">
        <f>IF(Master_Results!$D$7="","",IF(D7=Master_Results!$D$7,1,0))</f>
        <v/>
      </c>
      <c r="G7" s="23">
        <f>IF(F7="","",E7*F7)</f>
        <v/>
      </c>
    </row>
    <row r="8" ht="15.75" customHeight="1">
      <c r="A8" s="20" t="inlineStr">
        <is>
          <t>Round of 64</t>
        </is>
      </c>
      <c r="B8" s="46" t="inlineStr">
        <is>
          <t>R64_G5</t>
        </is>
      </c>
      <c r="C8" s="21" t="inlineStr">
        <is>
          <t>(6) Louisville vs (11) South Florida</t>
        </is>
      </c>
      <c r="D8" s="47" t="inlineStr">
        <is>
          <t>Louisville</t>
        </is>
      </c>
      <c r="E8" s="48" t="n">
        <v>1</v>
      </c>
      <c r="F8" s="23">
        <f>IF(Master_Results!$D$8="","",IF(D8=Master_Results!$D$8,1,0))</f>
        <v/>
      </c>
      <c r="G8" s="23">
        <f>IF(F8="","",E8*F8)</f>
        <v/>
      </c>
    </row>
    <row r="9" ht="15.75" customHeight="1">
      <c r="A9" s="20" t="inlineStr">
        <is>
          <t>Round of 64</t>
        </is>
      </c>
      <c r="B9" s="46" t="inlineStr">
        <is>
          <t>R64_G6</t>
        </is>
      </c>
      <c r="C9" s="21" t="inlineStr">
        <is>
          <t>(3) Michigan St vs (14) ND State</t>
        </is>
      </c>
      <c r="D9" s="47" t="inlineStr">
        <is>
          <t>Mich St</t>
        </is>
      </c>
      <c r="E9" s="48" t="n">
        <v>1</v>
      </c>
      <c r="F9" s="23">
        <f>IF(Master_Results!$D$9="","",IF(D9=Master_Results!$D$9,1,0))</f>
        <v/>
      </c>
      <c r="G9" s="23">
        <f>IF(F9="","",E9*F9)</f>
        <v/>
      </c>
    </row>
    <row r="10" ht="15.75" customHeight="1">
      <c r="A10" s="20" t="inlineStr">
        <is>
          <t>Round of 64</t>
        </is>
      </c>
      <c r="B10" s="46" t="inlineStr">
        <is>
          <t>R64_G7</t>
        </is>
      </c>
      <c r="C10" s="21" t="inlineStr">
        <is>
          <t>(7) UCLA vs (10) UCF</t>
        </is>
      </c>
      <c r="D10" s="47" t="inlineStr">
        <is>
          <t>UCLA</t>
        </is>
      </c>
      <c r="E10" s="48" t="n">
        <v>1</v>
      </c>
      <c r="F10" s="23">
        <f>IF(Master_Results!$D$10="","",IF(D10=Master_Results!$D$10,1,0))</f>
        <v/>
      </c>
      <c r="G10" s="23">
        <f>IF(F10="","",E10*F10)</f>
        <v/>
      </c>
    </row>
    <row r="11" ht="15.75" customHeight="1">
      <c r="A11" s="20" t="inlineStr">
        <is>
          <t>Round of 64</t>
        </is>
      </c>
      <c r="B11" s="46" t="inlineStr">
        <is>
          <t>R64_G8</t>
        </is>
      </c>
      <c r="C11" s="21" t="inlineStr">
        <is>
          <t>(2) UConn vs (15) Furman</t>
        </is>
      </c>
      <c r="D11" s="47" t="inlineStr">
        <is>
          <t>UConn</t>
        </is>
      </c>
      <c r="E11" s="48" t="n">
        <v>1</v>
      </c>
      <c r="F11" s="23">
        <f>IF(Master_Results!$D$11="","",IF(D11=Master_Results!$D$11,1,0))</f>
        <v/>
      </c>
      <c r="G11" s="23">
        <f>IF(F11="","",E11*F11)</f>
        <v/>
      </c>
    </row>
    <row r="12" ht="15.75" customHeight="1">
      <c r="A12" s="20" t="inlineStr">
        <is>
          <t>Round of 64</t>
        </is>
      </c>
      <c r="B12" s="46" t="inlineStr">
        <is>
          <t>R64_G9</t>
        </is>
      </c>
      <c r="C12" s="21" t="inlineStr">
        <is>
          <t>(1) Florida vs (16) Prairie View A&amp;M</t>
        </is>
      </c>
      <c r="D12" s="47" t="inlineStr">
        <is>
          <t>Florida</t>
        </is>
      </c>
      <c r="E12" s="48" t="n">
        <v>1</v>
      </c>
      <c r="F12" s="23">
        <f>IF(Master_Results!$D$12="","",IF(D12=Master_Results!$D$12,1,0))</f>
        <v/>
      </c>
      <c r="G12" s="23">
        <f>IF(F12="","",E12*F12)</f>
        <v/>
      </c>
    </row>
    <row r="13" ht="15.75" customHeight="1">
      <c r="A13" s="20" t="inlineStr">
        <is>
          <t>Round of 64</t>
        </is>
      </c>
      <c r="B13" s="46" t="inlineStr">
        <is>
          <t>R64_G10</t>
        </is>
      </c>
      <c r="C13" s="21" t="inlineStr">
        <is>
          <t>(8) Clemson vs (9) Iowa</t>
        </is>
      </c>
      <c r="D13" s="47" t="inlineStr">
        <is>
          <t>Clemson</t>
        </is>
      </c>
      <c r="E13" s="48" t="n">
        <v>1</v>
      </c>
      <c r="F13" s="23">
        <f>IF(Master_Results!$D$13="","",IF(D13=Master_Results!$D$13,1,0))</f>
        <v/>
      </c>
      <c r="G13" s="23">
        <f>IF(F13="","",E13*F13)</f>
        <v/>
      </c>
    </row>
    <row r="14" ht="15.75" customHeight="1">
      <c r="A14" s="20" t="inlineStr">
        <is>
          <t>Round of 64</t>
        </is>
      </c>
      <c r="B14" s="46" t="inlineStr">
        <is>
          <t>R64_G11</t>
        </is>
      </c>
      <c r="C14" s="21" t="inlineStr">
        <is>
          <t>(5) Vandy vs (12) McNeese</t>
        </is>
      </c>
      <c r="D14" s="47" t="inlineStr">
        <is>
          <t>Vandy</t>
        </is>
      </c>
      <c r="E14" s="48" t="n">
        <v>1</v>
      </c>
      <c r="F14" s="23">
        <f>IF(Master_Results!$D$14="","",IF(D14=Master_Results!$D$14,1,0))</f>
        <v/>
      </c>
      <c r="G14" s="23">
        <f>IF(F14="","",E14*F14)</f>
        <v/>
      </c>
    </row>
    <row r="15" ht="15.75" customHeight="1">
      <c r="A15" s="20" t="inlineStr">
        <is>
          <t>Round of 64</t>
        </is>
      </c>
      <c r="B15" s="46" t="inlineStr">
        <is>
          <t>R64_G12</t>
        </is>
      </c>
      <c r="C15" s="21" t="inlineStr">
        <is>
          <t>(4) Nebraska vs (13) Troy</t>
        </is>
      </c>
      <c r="D15" s="47" t="inlineStr">
        <is>
          <t>Nebraska</t>
        </is>
      </c>
      <c r="E15" s="48" t="n">
        <v>1</v>
      </c>
      <c r="F15" s="23">
        <f>IF(Master_Results!$D$15="","",IF(D15=Master_Results!$D$15,1,0))</f>
        <v/>
      </c>
      <c r="G15" s="23">
        <f>IF(F15="","",E15*F15)</f>
        <v/>
      </c>
    </row>
    <row r="16" ht="15.75" customHeight="1">
      <c r="A16" s="20" t="inlineStr">
        <is>
          <t>Round of 64</t>
        </is>
      </c>
      <c r="B16" s="46" t="inlineStr">
        <is>
          <t>R64_G13</t>
        </is>
      </c>
      <c r="C16" s="21" t="inlineStr">
        <is>
          <t>(6) North Carolina vs (11) VCU</t>
        </is>
      </c>
      <c r="D16" s="47" t="inlineStr">
        <is>
          <t>North Carolina</t>
        </is>
      </c>
      <c r="E16" s="48" t="n">
        <v>1</v>
      </c>
      <c r="F16" s="23">
        <f>IF(Master_Results!$D$16="","",IF(D16=Master_Results!$D$16,1,0))</f>
        <v/>
      </c>
      <c r="G16" s="23">
        <f>IF(F16="","",E16*F16)</f>
        <v/>
      </c>
    </row>
    <row r="17" ht="15.75" customHeight="1">
      <c r="A17" s="20" t="inlineStr">
        <is>
          <t>Round of 64</t>
        </is>
      </c>
      <c r="B17" s="46" t="inlineStr">
        <is>
          <t>R64_G14</t>
        </is>
      </c>
      <c r="C17" s="21" t="inlineStr">
        <is>
          <t>(3) Illinois vs (14) Penn</t>
        </is>
      </c>
      <c r="D17" s="47" t="inlineStr">
        <is>
          <t>Illinois</t>
        </is>
      </c>
      <c r="E17" s="48" t="n">
        <v>1</v>
      </c>
      <c r="F17" s="23">
        <f>IF(Master_Results!$D$17="","",IF(D17=Master_Results!$D$17,1,0))</f>
        <v/>
      </c>
      <c r="G17" s="23">
        <f>IF(F17="","",E17*F17)</f>
        <v/>
      </c>
    </row>
    <row r="18" ht="15.75" customHeight="1">
      <c r="A18" s="20" t="inlineStr">
        <is>
          <t>Round of 64</t>
        </is>
      </c>
      <c r="B18" s="46" t="inlineStr">
        <is>
          <t>R64_G15</t>
        </is>
      </c>
      <c r="C18" s="21" t="inlineStr">
        <is>
          <t>(7) St. Mary's vs (10) Texas A&amp;M</t>
        </is>
      </c>
      <c r="D18" s="47" t="inlineStr">
        <is>
          <t>Texas A&amp;M</t>
        </is>
      </c>
      <c r="E18" s="48" t="n">
        <v>1</v>
      </c>
      <c r="F18" s="23">
        <f>IF(Master_Results!$D$18="","",IF(D18=Master_Results!$D$18,1,0))</f>
        <v/>
      </c>
      <c r="G18" s="23">
        <f>IF(F18="","",E18*F18)</f>
        <v/>
      </c>
    </row>
    <row r="19" ht="15.75" customHeight="1">
      <c r="A19" s="20" t="inlineStr">
        <is>
          <t>Round of 64</t>
        </is>
      </c>
      <c r="B19" s="46" t="inlineStr">
        <is>
          <t>R64_G16</t>
        </is>
      </c>
      <c r="C19" s="21" t="inlineStr">
        <is>
          <t>(2) Houston vs (15) Idaho</t>
        </is>
      </c>
      <c r="D19" s="47" t="inlineStr">
        <is>
          <t>Houston</t>
        </is>
      </c>
      <c r="E19" s="48" t="n">
        <v>1</v>
      </c>
      <c r="F19" s="23">
        <f>IF(Master_Results!$D$19="","",IF(D19=Master_Results!$D$19,1,0))</f>
        <v/>
      </c>
      <c r="G19" s="23">
        <f>IF(F19="","",E19*F19)</f>
        <v/>
      </c>
    </row>
    <row r="20" ht="15.75" customHeight="1">
      <c r="A20" s="20" t="inlineStr">
        <is>
          <t>Round of 64</t>
        </is>
      </c>
      <c r="B20" s="46" t="inlineStr">
        <is>
          <t>R64_G17</t>
        </is>
      </c>
      <c r="C20" s="21" t="inlineStr">
        <is>
          <t>(1) Arizona vs (16) Long Island</t>
        </is>
      </c>
      <c r="D20" s="47" t="inlineStr">
        <is>
          <t>Arizona</t>
        </is>
      </c>
      <c r="E20" s="48" t="n">
        <v>1</v>
      </c>
      <c r="F20" s="23">
        <f>IF(Master_Results!$D$20="","",IF(D20=Master_Results!$D$20,1,0))</f>
        <v/>
      </c>
      <c r="G20" s="23">
        <f>IF(F20="","",E20*F20)</f>
        <v/>
      </c>
    </row>
    <row r="21" ht="15.75" customHeight="1">
      <c r="A21" s="20" t="inlineStr">
        <is>
          <t>Round of 64</t>
        </is>
      </c>
      <c r="B21" s="46" t="inlineStr">
        <is>
          <t>R64_G18</t>
        </is>
      </c>
      <c r="C21" s="21" t="inlineStr">
        <is>
          <t>(8) Villanova vs (9) Utah St</t>
        </is>
      </c>
      <c r="D21" s="47" t="inlineStr">
        <is>
          <t>Villanova</t>
        </is>
      </c>
      <c r="E21" s="48" t="n">
        <v>1</v>
      </c>
      <c r="F21" s="23">
        <f>IF(Master_Results!$D$21="","",IF(D21=Master_Results!$D$21,1,0))</f>
        <v/>
      </c>
      <c r="G21" s="23">
        <f>IF(F21="","",E21*F21)</f>
        <v/>
      </c>
    </row>
    <row r="22" ht="15.75" customHeight="1">
      <c r="A22" s="20" t="inlineStr">
        <is>
          <t>Round of 64</t>
        </is>
      </c>
      <c r="B22" s="46" t="inlineStr">
        <is>
          <t>R64_G19</t>
        </is>
      </c>
      <c r="C22" s="21" t="inlineStr">
        <is>
          <t>(5) Wisconsin vs (12) High Point</t>
        </is>
      </c>
      <c r="D22" s="47" t="inlineStr">
        <is>
          <t>Wisconsin</t>
        </is>
      </c>
      <c r="E22" s="48" t="n">
        <v>1</v>
      </c>
      <c r="F22" s="23">
        <f>IF(Master_Results!$D$22="","",IF(D22=Master_Results!$D$22,1,0))</f>
        <v/>
      </c>
      <c r="G22" s="23">
        <f>IF(F22="","",E22*F22)</f>
        <v/>
      </c>
    </row>
    <row r="23" ht="15.75" customHeight="1">
      <c r="A23" s="20" t="inlineStr">
        <is>
          <t>Round of 64</t>
        </is>
      </c>
      <c r="B23" s="46" t="inlineStr">
        <is>
          <t>R64_G20</t>
        </is>
      </c>
      <c r="C23" s="21" t="inlineStr">
        <is>
          <t>(4) Arkansas vs (13) Hawai'i</t>
        </is>
      </c>
      <c r="D23" s="47" t="inlineStr">
        <is>
          <t>Arkansas</t>
        </is>
      </c>
      <c r="E23" s="48" t="n">
        <v>1</v>
      </c>
      <c r="F23" s="23">
        <f>IF(Master_Results!$D$23="","",IF(D23=Master_Results!$D$23,1,0))</f>
        <v/>
      </c>
      <c r="G23" s="23">
        <f>IF(F23="","",E23*F23)</f>
        <v/>
      </c>
    </row>
    <row r="24" ht="15.75" customHeight="1">
      <c r="A24" s="20" t="inlineStr">
        <is>
          <t>Round of 64</t>
        </is>
      </c>
      <c r="B24" s="46" t="inlineStr">
        <is>
          <t>R64_G21</t>
        </is>
      </c>
      <c r="C24" s="21" t="inlineStr">
        <is>
          <t>(6) BYU vs (11) Texas</t>
        </is>
      </c>
      <c r="D24" s="47" t="inlineStr">
        <is>
          <t>BYU</t>
        </is>
      </c>
      <c r="E24" s="48" t="n">
        <v>1</v>
      </c>
      <c r="F24" s="23">
        <f>IF(Master_Results!$D$24="","",IF(D24=Master_Results!$D$24,1,0))</f>
        <v/>
      </c>
      <c r="G24" s="23">
        <f>IF(F24="","",E24*F24)</f>
        <v/>
      </c>
    </row>
    <row r="25" ht="15.75" customHeight="1">
      <c r="A25" s="20" t="inlineStr">
        <is>
          <t>Round of 64</t>
        </is>
      </c>
      <c r="B25" s="46" t="inlineStr">
        <is>
          <t>R64_G22</t>
        </is>
      </c>
      <c r="C25" s="21" t="inlineStr">
        <is>
          <t>(3) Gonzaga vs (14) Kennesaw St</t>
        </is>
      </c>
      <c r="D25" s="47" t="inlineStr">
        <is>
          <t>Gonzaga</t>
        </is>
      </c>
      <c r="E25" s="48" t="n">
        <v>1</v>
      </c>
      <c r="F25" s="23">
        <f>IF(Master_Results!$D$25="","",IF(D25=Master_Results!$D$25,1,0))</f>
        <v/>
      </c>
      <c r="G25" s="23">
        <f>IF(F25="","",E25*F25)</f>
        <v/>
      </c>
    </row>
    <row r="26" ht="15.75" customHeight="1">
      <c r="A26" s="20" t="inlineStr">
        <is>
          <t>Round of 64</t>
        </is>
      </c>
      <c r="B26" s="46" t="inlineStr">
        <is>
          <t>R64_G23</t>
        </is>
      </c>
      <c r="C26" s="21" t="inlineStr">
        <is>
          <t>(7) Miami (FL) vs (10) Missouri</t>
        </is>
      </c>
      <c r="D26" s="47" t="inlineStr">
        <is>
          <t>Miami</t>
        </is>
      </c>
      <c r="E26" s="48" t="n">
        <v>1</v>
      </c>
      <c r="F26" s="23">
        <f>IF(Master_Results!$D$26="","",IF(D26=Master_Results!$D$26,1,0))</f>
        <v/>
      </c>
      <c r="G26" s="23">
        <f>IF(F26="","",E26*F26)</f>
        <v/>
      </c>
    </row>
    <row r="27" ht="15.75" customHeight="1">
      <c r="A27" s="20" t="inlineStr">
        <is>
          <t>Round of 64</t>
        </is>
      </c>
      <c r="B27" s="46" t="inlineStr">
        <is>
          <t>R64_G24</t>
        </is>
      </c>
      <c r="C27" s="21" t="inlineStr">
        <is>
          <t>(2) Purdue vs (15) Queens</t>
        </is>
      </c>
      <c r="D27" s="47" t="inlineStr">
        <is>
          <t>Purdue</t>
        </is>
      </c>
      <c r="E27" s="48" t="n">
        <v>1</v>
      </c>
      <c r="F27" s="23">
        <f>IF(Master_Results!$D$27="","",IF(D27=Master_Results!$D$27,1,0))</f>
        <v/>
      </c>
      <c r="G27" s="23">
        <f>IF(F27="","",E27*F27)</f>
        <v/>
      </c>
    </row>
    <row r="28" ht="15.75" customHeight="1">
      <c r="A28" s="20" t="inlineStr">
        <is>
          <t>Round of 64</t>
        </is>
      </c>
      <c r="B28" s="46" t="inlineStr">
        <is>
          <t>R64_G25</t>
        </is>
      </c>
      <c r="C28" s="21" t="inlineStr">
        <is>
          <t>(1) Michigan vs (16) Howard</t>
        </is>
      </c>
      <c r="D28" s="47" t="inlineStr">
        <is>
          <t>Michigan</t>
        </is>
      </c>
      <c r="E28" s="48" t="n">
        <v>1</v>
      </c>
      <c r="F28" s="23">
        <f>IF(Master_Results!$D$28="","",IF(D28=Master_Results!$D$28,1,0))</f>
        <v/>
      </c>
      <c r="G28" s="23">
        <f>IF(F28="","",E28*F28)</f>
        <v/>
      </c>
    </row>
    <row r="29" ht="15.75" customHeight="1">
      <c r="A29" s="20" t="inlineStr">
        <is>
          <t>Round of 64</t>
        </is>
      </c>
      <c r="B29" s="46" t="inlineStr">
        <is>
          <t>R64_G26</t>
        </is>
      </c>
      <c r="C29" s="21" t="inlineStr">
        <is>
          <t>(8) Georgia vs (9) St. Louis</t>
        </is>
      </c>
      <c r="D29" s="47" t="inlineStr">
        <is>
          <t>St. Louis</t>
        </is>
      </c>
      <c r="E29" s="48" t="n">
        <v>1</v>
      </c>
      <c r="F29" s="23">
        <f>IF(Master_Results!$D$29="","",IF(D29=Master_Results!$D$29,1,0))</f>
        <v/>
      </c>
      <c r="G29" s="23">
        <f>IF(F29="","",E29*F29)</f>
        <v/>
      </c>
    </row>
    <row r="30" ht="15.75" customHeight="1">
      <c r="A30" s="20" t="inlineStr">
        <is>
          <t>Round of 64</t>
        </is>
      </c>
      <c r="B30" s="46" t="inlineStr">
        <is>
          <t>R64_G27</t>
        </is>
      </c>
      <c r="C30" s="21" t="inlineStr">
        <is>
          <t>(5) Texas Tech vs (12) Akron</t>
        </is>
      </c>
      <c r="D30" s="47" t="inlineStr">
        <is>
          <t>Texas Tech</t>
        </is>
      </c>
      <c r="E30" s="48" t="n">
        <v>1</v>
      </c>
      <c r="F30" s="23">
        <f>IF(Master_Results!$D$30="","",IF(D30=Master_Results!$D$30,1,0))</f>
        <v/>
      </c>
      <c r="G30" s="23">
        <f>IF(F30="","",E30*F30)</f>
        <v/>
      </c>
    </row>
    <row r="31" ht="15.75" customHeight="1">
      <c r="A31" s="20" t="inlineStr">
        <is>
          <t>Round of 64</t>
        </is>
      </c>
      <c r="B31" s="46" t="inlineStr">
        <is>
          <t>R64_G28</t>
        </is>
      </c>
      <c r="C31" s="21" t="inlineStr">
        <is>
          <t>(4) Alabama vs (13) Hofstra</t>
        </is>
      </c>
      <c r="D31" s="47" t="inlineStr">
        <is>
          <t>Alabama</t>
        </is>
      </c>
      <c r="E31" s="48" t="n">
        <v>1</v>
      </c>
      <c r="F31" s="23">
        <f>IF(Master_Results!$D$31="","",IF(D31=Master_Results!$D$31,1,0))</f>
        <v/>
      </c>
      <c r="G31" s="23">
        <f>IF(F31="","",E31*F31)</f>
        <v/>
      </c>
    </row>
    <row r="32" ht="15.75" customHeight="1">
      <c r="A32" s="20" t="inlineStr">
        <is>
          <t>Round of 64</t>
        </is>
      </c>
      <c r="B32" s="46" t="inlineStr">
        <is>
          <t>R64_G29</t>
        </is>
      </c>
      <c r="C32" s="21" t="inlineStr">
        <is>
          <t>(6) Tennessee vs (11) Miami (OH)</t>
        </is>
      </c>
      <c r="D32" s="47" t="inlineStr">
        <is>
          <t>Tennessee</t>
        </is>
      </c>
      <c r="E32" s="48" t="n">
        <v>1</v>
      </c>
      <c r="F32" s="23">
        <f>IF(Master_Results!$D$32="","",IF(D32=Master_Results!$D$32,1,0))</f>
        <v/>
      </c>
      <c r="G32" s="23">
        <f>IF(F32="","",E32*F32)</f>
        <v/>
      </c>
    </row>
    <row r="33" ht="15.75" customHeight="1">
      <c r="A33" s="20" t="inlineStr">
        <is>
          <t>Round of 64</t>
        </is>
      </c>
      <c r="B33" s="46" t="inlineStr">
        <is>
          <t>R64_G30</t>
        </is>
      </c>
      <c r="C33" s="21" t="inlineStr">
        <is>
          <t>(3) Virginia vs (14) Wright St</t>
        </is>
      </c>
      <c r="D33" s="47" t="inlineStr">
        <is>
          <t>Virginia</t>
        </is>
      </c>
      <c r="E33" s="48" t="n">
        <v>1</v>
      </c>
      <c r="F33" s="23">
        <f>IF(Master_Results!$D$33="","",IF(D33=Master_Results!$D$33,1,0))</f>
        <v/>
      </c>
      <c r="G33" s="23">
        <f>IF(F33="","",E33*F33)</f>
        <v/>
      </c>
    </row>
    <row r="34" ht="15.75" customHeight="1">
      <c r="A34" s="20" t="inlineStr">
        <is>
          <t>Round of 64</t>
        </is>
      </c>
      <c r="B34" s="46" t="inlineStr">
        <is>
          <t>R64_G31</t>
        </is>
      </c>
      <c r="C34" s="21" t="inlineStr">
        <is>
          <t>(7) Kentucky vs (10) Santa Clara</t>
        </is>
      </c>
      <c r="D34" s="47" t="inlineStr">
        <is>
          <t>Kentucky</t>
        </is>
      </c>
      <c r="E34" s="48" t="n">
        <v>1</v>
      </c>
      <c r="F34" s="23">
        <f>IF(Master_Results!$D$34="","",IF(D34=Master_Results!$D$34,1,0))</f>
        <v/>
      </c>
      <c r="G34" s="23">
        <f>IF(F34="","",E34*F34)</f>
        <v/>
      </c>
    </row>
    <row r="35" ht="15.75" customHeight="1">
      <c r="A35" s="20" t="inlineStr">
        <is>
          <t>Round of 64</t>
        </is>
      </c>
      <c r="B35" s="46" t="inlineStr">
        <is>
          <t>R64_G32</t>
        </is>
      </c>
      <c r="C35" s="21" t="inlineStr">
        <is>
          <t>(2) Iowa St vs (15) Tenn St</t>
        </is>
      </c>
      <c r="D35" s="47" t="inlineStr">
        <is>
          <t>Iowa State</t>
        </is>
      </c>
      <c r="E35" s="48" t="n">
        <v>1</v>
      </c>
      <c r="F35" s="23">
        <f>IF(Master_Results!$D$35="","",IF(D35=Master_Results!$D$35,1,0))</f>
        <v/>
      </c>
      <c r="G35" s="23">
        <f>IF(F35="","",E35*F35)</f>
        <v/>
      </c>
    </row>
    <row r="36" ht="19.5" customHeight="1">
      <c r="A36" s="10" t="inlineStr">
        <is>
          <t xml:space="preserve">  ▸  ROUND OF 32  •  2 pts each</t>
        </is>
      </c>
      <c r="H36" s="80" t="n"/>
    </row>
    <row r="37" ht="15.75" customHeight="1">
      <c r="A37" s="24" t="inlineStr">
        <is>
          <t>Round of 32</t>
        </is>
      </c>
      <c r="B37" s="49" t="inlineStr">
        <is>
          <t>Rou_G1</t>
        </is>
      </c>
      <c r="C37" s="25" t="inlineStr">
        <is>
          <t>Winner Game 1 &amp; 2</t>
        </is>
      </c>
      <c r="D37" s="50" t="inlineStr">
        <is>
          <t>Duke</t>
        </is>
      </c>
      <c r="E37" s="51" t="n">
        <v>2</v>
      </c>
      <c r="F37" s="27">
        <f>IF(Master_Results!$D$37="","",IF(D37=Master_Results!$D$37,1,0))</f>
        <v/>
      </c>
      <c r="G37" s="27">
        <f>IF(F37="","",E37*F37)</f>
        <v/>
      </c>
    </row>
    <row r="38" ht="15.75" customHeight="1">
      <c r="A38" s="24" t="inlineStr">
        <is>
          <t>Round of 32</t>
        </is>
      </c>
      <c r="B38" s="49" t="inlineStr">
        <is>
          <t>Rou_G2</t>
        </is>
      </c>
      <c r="C38" s="25" t="inlineStr">
        <is>
          <t>Winner Game 3 &amp; 4</t>
        </is>
      </c>
      <c r="D38" s="50" t="inlineStr">
        <is>
          <t>St. John</t>
        </is>
      </c>
      <c r="E38" s="51" t="n">
        <v>2</v>
      </c>
      <c r="F38" s="27">
        <f>IF(Master_Results!$D$38="","",IF(D38=Master_Results!$D$38,1,0))</f>
        <v/>
      </c>
      <c r="G38" s="27">
        <f>IF(F38="","",E38*F38)</f>
        <v/>
      </c>
    </row>
    <row r="39" ht="15.75" customHeight="1">
      <c r="A39" s="24" t="inlineStr">
        <is>
          <t>Round of 32</t>
        </is>
      </c>
      <c r="B39" s="49" t="inlineStr">
        <is>
          <t>Rou_G3</t>
        </is>
      </c>
      <c r="C39" s="25" t="inlineStr">
        <is>
          <t>Winner Game 5 &amp; 6</t>
        </is>
      </c>
      <c r="D39" s="50" t="inlineStr">
        <is>
          <t>Mich St</t>
        </is>
      </c>
      <c r="E39" s="51" t="n">
        <v>2</v>
      </c>
      <c r="F39" s="27">
        <f>IF(Master_Results!$D$39="","",IF(D39=Master_Results!$D$39,1,0))</f>
        <v/>
      </c>
      <c r="G39" s="27">
        <f>IF(F39="","",E39*F39)</f>
        <v/>
      </c>
    </row>
    <row r="40" ht="15.75" customHeight="1">
      <c r="A40" s="24" t="inlineStr">
        <is>
          <t>Round of 32</t>
        </is>
      </c>
      <c r="B40" s="49" t="inlineStr">
        <is>
          <t>Rou_G4</t>
        </is>
      </c>
      <c r="C40" s="25" t="inlineStr">
        <is>
          <t>Winner Game 7 &amp; 8</t>
        </is>
      </c>
      <c r="D40" s="50" t="inlineStr">
        <is>
          <t>UCLA</t>
        </is>
      </c>
      <c r="E40" s="51" t="n">
        <v>2</v>
      </c>
      <c r="F40" s="27">
        <f>IF(Master_Results!$D$40="","",IF(D40=Master_Results!$D$40,1,0))</f>
        <v/>
      </c>
      <c r="G40" s="27">
        <f>IF(F40="","",E40*F40)</f>
        <v/>
      </c>
    </row>
    <row r="41" ht="15.75" customHeight="1">
      <c r="A41" s="24" t="inlineStr">
        <is>
          <t>Round of 32</t>
        </is>
      </c>
      <c r="B41" s="49" t="inlineStr">
        <is>
          <t>Rou_G5</t>
        </is>
      </c>
      <c r="C41" s="25" t="inlineStr">
        <is>
          <t>Winner Game 9 &amp; 10</t>
        </is>
      </c>
      <c r="D41" s="50" t="inlineStr">
        <is>
          <t>Florida</t>
        </is>
      </c>
      <c r="E41" s="51" t="n">
        <v>2</v>
      </c>
      <c r="F41" s="27">
        <f>IF(Master_Results!$D$41="","",IF(D41=Master_Results!$D$41,1,0))</f>
        <v/>
      </c>
      <c r="G41" s="27">
        <f>IF(F41="","",E41*F41)</f>
        <v/>
      </c>
    </row>
    <row r="42" ht="15.75" customHeight="1">
      <c r="A42" s="24" t="inlineStr">
        <is>
          <t>Round of 32</t>
        </is>
      </c>
      <c r="B42" s="49" t="inlineStr">
        <is>
          <t>Rou_G6</t>
        </is>
      </c>
      <c r="C42" s="25" t="inlineStr">
        <is>
          <t>Winner Game 11 &amp; 12</t>
        </is>
      </c>
      <c r="D42" s="50" t="inlineStr">
        <is>
          <t>Vandy</t>
        </is>
      </c>
      <c r="E42" s="51" t="n">
        <v>2</v>
      </c>
      <c r="F42" s="27">
        <f>IF(Master_Results!$D$42="","",IF(D42=Master_Results!$D$42,1,0))</f>
        <v/>
      </c>
      <c r="G42" s="27">
        <f>IF(F42="","",E42*F42)</f>
        <v/>
      </c>
    </row>
    <row r="43" ht="15.75" customHeight="1">
      <c r="A43" s="24" t="inlineStr">
        <is>
          <t>Round of 32</t>
        </is>
      </c>
      <c r="B43" s="49" t="inlineStr">
        <is>
          <t>Rou_G7</t>
        </is>
      </c>
      <c r="C43" s="25" t="inlineStr">
        <is>
          <t>Winner Game 13 &amp; 14</t>
        </is>
      </c>
      <c r="D43" s="50" t="inlineStr">
        <is>
          <t>North Carolina</t>
        </is>
      </c>
      <c r="E43" s="51" t="n">
        <v>2</v>
      </c>
      <c r="F43" s="27">
        <f>IF(Master_Results!$D$43="","",IF(D43=Master_Results!$D$43,1,0))</f>
        <v/>
      </c>
      <c r="G43" s="27">
        <f>IF(F43="","",E43*F43)</f>
        <v/>
      </c>
    </row>
    <row r="44" ht="15.75" customHeight="1">
      <c r="A44" s="24" t="inlineStr">
        <is>
          <t>Round of 32</t>
        </is>
      </c>
      <c r="B44" s="49" t="inlineStr">
        <is>
          <t>Rou_G8</t>
        </is>
      </c>
      <c r="C44" s="25" t="inlineStr">
        <is>
          <t>Winner Game 15 &amp; 16</t>
        </is>
      </c>
      <c r="D44" s="50" t="inlineStr">
        <is>
          <t>Houston</t>
        </is>
      </c>
      <c r="E44" s="51" t="n">
        <v>2</v>
      </c>
      <c r="F44" s="27">
        <f>IF(Master_Results!$D$44="","",IF(D44=Master_Results!$D$44,1,0))</f>
        <v/>
      </c>
      <c r="G44" s="27">
        <f>IF(F44="","",E44*F44)</f>
        <v/>
      </c>
    </row>
    <row r="45" ht="15.75" customHeight="1">
      <c r="A45" s="24" t="inlineStr">
        <is>
          <t>Round of 32</t>
        </is>
      </c>
      <c r="B45" s="49" t="inlineStr">
        <is>
          <t>Rou_G9</t>
        </is>
      </c>
      <c r="C45" s="25" t="inlineStr">
        <is>
          <t>Winner Game 17 &amp; 18</t>
        </is>
      </c>
      <c r="D45" s="50" t="inlineStr">
        <is>
          <t>Arizona</t>
        </is>
      </c>
      <c r="E45" s="51" t="n">
        <v>2</v>
      </c>
      <c r="F45" s="27">
        <f>IF(Master_Results!$D$45="","",IF(D45=Master_Results!$D$45,1,0))</f>
        <v/>
      </c>
      <c r="G45" s="27">
        <f>IF(F45="","",E45*F45)</f>
        <v/>
      </c>
    </row>
    <row r="46" ht="15.75" customHeight="1">
      <c r="A46" s="24" t="inlineStr">
        <is>
          <t>Round of 32</t>
        </is>
      </c>
      <c r="B46" s="49" t="inlineStr">
        <is>
          <t>Rou_G10</t>
        </is>
      </c>
      <c r="C46" s="25" t="inlineStr">
        <is>
          <t>Winner Game 19 &amp; 20</t>
        </is>
      </c>
      <c r="D46" s="50" t="inlineStr">
        <is>
          <t>Arkansas</t>
        </is>
      </c>
      <c r="E46" s="51" t="n">
        <v>2</v>
      </c>
      <c r="F46" s="27">
        <f>IF(Master_Results!$D$46="","",IF(D46=Master_Results!$D$46,1,0))</f>
        <v/>
      </c>
      <c r="G46" s="27">
        <f>IF(F46="","",E46*F46)</f>
        <v/>
      </c>
    </row>
    <row r="47" ht="15.75" customHeight="1">
      <c r="A47" s="24" t="inlineStr">
        <is>
          <t>Round of 32</t>
        </is>
      </c>
      <c r="B47" s="49" t="inlineStr">
        <is>
          <t>Rou_G11</t>
        </is>
      </c>
      <c r="C47" s="25" t="inlineStr">
        <is>
          <t>Winner Game 21 &amp; 22</t>
        </is>
      </c>
      <c r="D47" s="50" t="inlineStr">
        <is>
          <t>Gonzaga</t>
        </is>
      </c>
      <c r="E47" s="51" t="n">
        <v>2</v>
      </c>
      <c r="F47" s="27">
        <f>IF(Master_Results!$D$47="","",IF(D47=Master_Results!$D$47,1,0))</f>
        <v/>
      </c>
      <c r="G47" s="27">
        <f>IF(F47="","",E47*F47)</f>
        <v/>
      </c>
    </row>
    <row r="48" ht="15.75" customHeight="1">
      <c r="A48" s="24" t="inlineStr">
        <is>
          <t>Round of 32</t>
        </is>
      </c>
      <c r="B48" s="49" t="inlineStr">
        <is>
          <t>Rou_G12</t>
        </is>
      </c>
      <c r="C48" s="25" t="inlineStr">
        <is>
          <t>Winner Game 23 &amp; 24</t>
        </is>
      </c>
      <c r="D48" s="50" t="inlineStr">
        <is>
          <t>Purdue</t>
        </is>
      </c>
      <c r="E48" s="51" t="n">
        <v>2</v>
      </c>
      <c r="F48" s="27">
        <f>IF(Master_Results!$D$48="","",IF(D48=Master_Results!$D$48,1,0))</f>
        <v/>
      </c>
      <c r="G48" s="27">
        <f>IF(F48="","",E48*F48)</f>
        <v/>
      </c>
    </row>
    <row r="49" ht="15.75" customHeight="1">
      <c r="A49" s="24" t="inlineStr">
        <is>
          <t>Round of 32</t>
        </is>
      </c>
      <c r="B49" s="49" t="inlineStr">
        <is>
          <t>Rou_G13</t>
        </is>
      </c>
      <c r="C49" s="25" t="inlineStr">
        <is>
          <t>Winner Game 25 &amp; 26</t>
        </is>
      </c>
      <c r="D49" s="50" t="inlineStr">
        <is>
          <t>Michigan</t>
        </is>
      </c>
      <c r="E49" s="51" t="n">
        <v>2</v>
      </c>
      <c r="F49" s="27">
        <f>IF(Master_Results!$D$49="","",IF(D49=Master_Results!$D$49,1,0))</f>
        <v/>
      </c>
      <c r="G49" s="27">
        <f>IF(F49="","",E49*F49)</f>
        <v/>
      </c>
    </row>
    <row r="50" ht="15.75" customHeight="1">
      <c r="A50" s="24" t="inlineStr">
        <is>
          <t>Round of 32</t>
        </is>
      </c>
      <c r="B50" s="49" t="inlineStr">
        <is>
          <t>Rou_G14</t>
        </is>
      </c>
      <c r="C50" s="25" t="inlineStr">
        <is>
          <t>Winner Game 27 &amp; 28</t>
        </is>
      </c>
      <c r="D50" s="50" t="inlineStr">
        <is>
          <t>Texas Tech</t>
        </is>
      </c>
      <c r="E50" s="51" t="n">
        <v>2</v>
      </c>
      <c r="F50" s="27">
        <f>IF(Master_Results!$D$50="","",IF(D50=Master_Results!$D$50,1,0))</f>
        <v/>
      </c>
      <c r="G50" s="27">
        <f>IF(F50="","",E50*F50)</f>
        <v/>
      </c>
    </row>
    <row r="51" ht="15.75" customHeight="1">
      <c r="A51" s="24" t="inlineStr">
        <is>
          <t>Round of 32</t>
        </is>
      </c>
      <c r="B51" s="49" t="inlineStr">
        <is>
          <t>Rou_G15</t>
        </is>
      </c>
      <c r="C51" s="25" t="inlineStr">
        <is>
          <t>Winner Game 29 &amp; 30</t>
        </is>
      </c>
      <c r="D51" s="50" t="inlineStr">
        <is>
          <t>Virginia</t>
        </is>
      </c>
      <c r="E51" s="51" t="n">
        <v>2</v>
      </c>
      <c r="F51" s="27">
        <f>IF(Master_Results!$D$51="","",IF(D51=Master_Results!$D$51,1,0))</f>
        <v/>
      </c>
      <c r="G51" s="27">
        <f>IF(F51="","",E51*F51)</f>
        <v/>
      </c>
    </row>
    <row r="52" ht="15.75" customHeight="1">
      <c r="A52" s="24" t="inlineStr">
        <is>
          <t>Round of 32</t>
        </is>
      </c>
      <c r="B52" s="49" t="inlineStr">
        <is>
          <t>Rou_G16</t>
        </is>
      </c>
      <c r="C52" s="25" t="inlineStr">
        <is>
          <t>Winner Game 31 &amp; 32</t>
        </is>
      </c>
      <c r="D52" s="50" t="inlineStr">
        <is>
          <t>Iowa</t>
        </is>
      </c>
      <c r="E52" s="51" t="n">
        <v>2</v>
      </c>
      <c r="F52" s="27">
        <f>IF(Master_Results!$D$52="","",IF(D52=Master_Results!$D$52,1,0))</f>
        <v/>
      </c>
      <c r="G52" s="27">
        <f>IF(F52="","",E52*F52)</f>
        <v/>
      </c>
    </row>
    <row r="53" ht="19.5" customHeight="1">
      <c r="A53" s="9" t="inlineStr">
        <is>
          <t xml:space="preserve">  ▸  SWEET SIXTEEN  •  4 pts each</t>
        </is>
      </c>
      <c r="H53" s="80" t="n"/>
    </row>
    <row r="54" ht="15.75" customHeight="1">
      <c r="A54" s="28" t="inlineStr">
        <is>
          <t>Sweet 16</t>
        </is>
      </c>
      <c r="B54" s="52" t="inlineStr">
        <is>
          <t>Swe_G1</t>
        </is>
      </c>
      <c r="C54" s="29" t="inlineStr">
        <is>
          <t>Winner Game 1 &amp; 2</t>
        </is>
      </c>
      <c r="D54" s="53" t="inlineStr">
        <is>
          <t>Duke</t>
        </is>
      </c>
      <c r="E54" s="54" t="n">
        <v>4</v>
      </c>
      <c r="F54" s="31">
        <f>IF(Master_Results!$D$54="","",IF(D54=Master_Results!$D$54,1,0))</f>
        <v/>
      </c>
      <c r="G54" s="31">
        <f>IF(F54="","",E54*F54)</f>
        <v/>
      </c>
    </row>
    <row r="55" ht="15.75" customHeight="1">
      <c r="A55" s="28" t="inlineStr">
        <is>
          <t>Sweet 16</t>
        </is>
      </c>
      <c r="B55" s="52" t="inlineStr">
        <is>
          <t>Swe_G2</t>
        </is>
      </c>
      <c r="C55" s="29" t="inlineStr">
        <is>
          <t>Winner Game 3 &amp; 4</t>
        </is>
      </c>
      <c r="D55" s="53" t="inlineStr">
        <is>
          <t>UCLA</t>
        </is>
      </c>
      <c r="E55" s="54" t="n">
        <v>4</v>
      </c>
      <c r="F55" s="31">
        <f>IF(Master_Results!$D$55="","",IF(D55=Master_Results!$D$55,1,0))</f>
        <v/>
      </c>
      <c r="G55" s="31">
        <f>IF(F55="","",E55*F55)</f>
        <v/>
      </c>
    </row>
    <row r="56" ht="15.75" customHeight="1">
      <c r="A56" s="28" t="inlineStr">
        <is>
          <t>Sweet 16</t>
        </is>
      </c>
      <c r="B56" s="52" t="inlineStr">
        <is>
          <t>Swe_G3</t>
        </is>
      </c>
      <c r="C56" s="29" t="inlineStr">
        <is>
          <t>Winner Game 5 &amp; 6</t>
        </is>
      </c>
      <c r="D56" s="53" t="inlineStr">
        <is>
          <t>Vandy</t>
        </is>
      </c>
      <c r="E56" s="54" t="n">
        <v>4</v>
      </c>
      <c r="F56" s="31">
        <f>IF(Master_Results!$D$56="","",IF(D56=Master_Results!$D$56,1,0))</f>
        <v/>
      </c>
      <c r="G56" s="31">
        <f>IF(F56="","",E56*F56)</f>
        <v/>
      </c>
    </row>
    <row r="57" ht="15.75" customHeight="1">
      <c r="A57" s="28" t="inlineStr">
        <is>
          <t>Sweet 16</t>
        </is>
      </c>
      <c r="B57" s="52" t="inlineStr">
        <is>
          <t>Swe_G4</t>
        </is>
      </c>
      <c r="C57" s="29" t="inlineStr">
        <is>
          <t>Winner Game 7 &amp; 8</t>
        </is>
      </c>
      <c r="D57" s="53" t="inlineStr">
        <is>
          <t>Houston</t>
        </is>
      </c>
      <c r="E57" s="54" t="n">
        <v>4</v>
      </c>
      <c r="F57" s="31">
        <f>IF(Master_Results!$D$57="","",IF(D57=Master_Results!$D$57,1,0))</f>
        <v/>
      </c>
      <c r="G57" s="31">
        <f>IF(F57="","",E57*F57)</f>
        <v/>
      </c>
    </row>
    <row r="58" ht="15.75" customHeight="1">
      <c r="A58" s="28" t="inlineStr">
        <is>
          <t>Sweet 16</t>
        </is>
      </c>
      <c r="B58" s="52" t="inlineStr">
        <is>
          <t>Swe_G5</t>
        </is>
      </c>
      <c r="C58" s="29" t="inlineStr">
        <is>
          <t>Winner Game 9 &amp; 10</t>
        </is>
      </c>
      <c r="D58" s="53" t="inlineStr">
        <is>
          <t>Arizona</t>
        </is>
      </c>
      <c r="E58" s="54" t="n">
        <v>4</v>
      </c>
      <c r="F58" s="31">
        <f>IF(Master_Results!$D$58="","",IF(D58=Master_Results!$D$58,1,0))</f>
        <v/>
      </c>
      <c r="G58" s="31">
        <f>IF(F58="","",E58*F58)</f>
        <v/>
      </c>
    </row>
    <row r="59" ht="15.75" customHeight="1">
      <c r="A59" s="28" t="inlineStr">
        <is>
          <t>Sweet 16</t>
        </is>
      </c>
      <c r="B59" s="52" t="inlineStr">
        <is>
          <t>Swe_G6</t>
        </is>
      </c>
      <c r="C59" s="29" t="inlineStr">
        <is>
          <t>Winner Game 11 &amp; 12</t>
        </is>
      </c>
      <c r="D59" s="53" t="inlineStr">
        <is>
          <t>Purdue</t>
        </is>
      </c>
      <c r="E59" s="54" t="n">
        <v>4</v>
      </c>
      <c r="F59" s="31">
        <f>IF(Master_Results!$D$59="","",IF(D59=Master_Results!$D$59,1,0))</f>
        <v/>
      </c>
      <c r="G59" s="31">
        <f>IF(F59="","",E59*F59)</f>
        <v/>
      </c>
    </row>
    <row r="60" ht="15.75" customHeight="1">
      <c r="A60" s="28" t="inlineStr">
        <is>
          <t>Sweet 16</t>
        </is>
      </c>
      <c r="B60" s="52" t="inlineStr">
        <is>
          <t>Swe_G7</t>
        </is>
      </c>
      <c r="C60" s="29" t="inlineStr">
        <is>
          <t>Winner Game 13 &amp; 14</t>
        </is>
      </c>
      <c r="D60" s="53" t="inlineStr">
        <is>
          <t>Michigan</t>
        </is>
      </c>
      <c r="E60" s="54" t="n">
        <v>4</v>
      </c>
      <c r="F60" s="31">
        <f>IF(Master_Results!$D$60="","",IF(D60=Master_Results!$D$60,1,0))</f>
        <v/>
      </c>
      <c r="G60" s="31">
        <f>IF(F60="","",E60*F60)</f>
        <v/>
      </c>
    </row>
    <row r="61" ht="15.75" customHeight="1">
      <c r="A61" s="28" t="inlineStr">
        <is>
          <t>Sweet 16</t>
        </is>
      </c>
      <c r="B61" s="52" t="inlineStr">
        <is>
          <t>Swe_G8</t>
        </is>
      </c>
      <c r="C61" s="29" t="inlineStr">
        <is>
          <t>Winner Game 15 &amp; 16</t>
        </is>
      </c>
      <c r="D61" s="53" t="inlineStr">
        <is>
          <t>Iowa</t>
        </is>
      </c>
      <c r="E61" s="54" t="n">
        <v>4</v>
      </c>
      <c r="F61" s="31">
        <f>IF(Master_Results!$D$61="","",IF(D61=Master_Results!$D$61,1,0))</f>
        <v/>
      </c>
      <c r="G61" s="31">
        <f>IF(F61="","",E61*F61)</f>
        <v/>
      </c>
    </row>
    <row r="62" ht="19.5" customHeight="1">
      <c r="A62" s="8" t="inlineStr">
        <is>
          <t xml:space="preserve">  ▸  ELITE EIGHT  •  8 pts each</t>
        </is>
      </c>
      <c r="H62" s="80" t="n"/>
    </row>
    <row r="63" ht="15.75" customHeight="1">
      <c r="A63" s="32" t="inlineStr">
        <is>
          <t>Elite 8</t>
        </is>
      </c>
      <c r="B63" s="55" t="inlineStr">
        <is>
          <t>Eli_G1</t>
        </is>
      </c>
      <c r="C63" s="33" t="inlineStr">
        <is>
          <t>Winner Game 1 &amp; 2</t>
        </is>
      </c>
      <c r="D63" s="56" t="inlineStr">
        <is>
          <t>Duke</t>
        </is>
      </c>
      <c r="E63" s="57" t="n">
        <v>8</v>
      </c>
      <c r="F63" s="35">
        <f>IF(Master_Results!$D$63="","",IF(D63=Master_Results!$D$63,1,0))</f>
        <v/>
      </c>
      <c r="G63" s="35">
        <f>IF(F63="","",E63*F63)</f>
        <v/>
      </c>
    </row>
    <row r="64" ht="15.75" customHeight="1">
      <c r="A64" s="32" t="inlineStr">
        <is>
          <t>Elite 8</t>
        </is>
      </c>
      <c r="B64" s="55" t="inlineStr">
        <is>
          <t>Eli_G2</t>
        </is>
      </c>
      <c r="C64" s="33" t="inlineStr">
        <is>
          <t>Winner Game 3 &amp; 4</t>
        </is>
      </c>
      <c r="D64" s="56" t="inlineStr">
        <is>
          <t>Houston</t>
        </is>
      </c>
      <c r="E64" s="57" t="n">
        <v>8</v>
      </c>
      <c r="F64" s="35">
        <f>IF(Master_Results!$D$64="","",IF(D64=Master_Results!$D$64,1,0))</f>
        <v/>
      </c>
      <c r="G64" s="35">
        <f>IF(F64="","",E64*F64)</f>
        <v/>
      </c>
    </row>
    <row r="65" ht="15.75" customHeight="1">
      <c r="A65" s="32" t="inlineStr">
        <is>
          <t>Elite 8</t>
        </is>
      </c>
      <c r="B65" s="55" t="inlineStr">
        <is>
          <t>Eli_G3</t>
        </is>
      </c>
      <c r="C65" s="33" t="inlineStr">
        <is>
          <t>Winner Game 5 &amp; 6</t>
        </is>
      </c>
      <c r="D65" s="56" t="inlineStr">
        <is>
          <t>Arizona</t>
        </is>
      </c>
      <c r="E65" s="57" t="n">
        <v>8</v>
      </c>
      <c r="F65" s="35">
        <f>IF(Master_Results!$D$65="","",IF(D65=Master_Results!$D$65,1,0))</f>
        <v/>
      </c>
      <c r="G65" s="35">
        <f>IF(F65="","",E65*F65)</f>
        <v/>
      </c>
    </row>
    <row r="66" ht="15.75" customHeight="1">
      <c r="A66" s="32" t="inlineStr">
        <is>
          <t>Elite 8</t>
        </is>
      </c>
      <c r="B66" s="55" t="inlineStr">
        <is>
          <t>Eli_G4</t>
        </is>
      </c>
      <c r="C66" s="33" t="inlineStr">
        <is>
          <t>Winner Game 7 &amp; 8</t>
        </is>
      </c>
      <c r="D66" s="56" t="inlineStr">
        <is>
          <t>Iowa</t>
        </is>
      </c>
      <c r="E66" s="57" t="n">
        <v>8</v>
      </c>
      <c r="F66" s="35">
        <f>IF(Master_Results!$D$66="","",IF(D66=Master_Results!$D$66,1,0))</f>
        <v/>
      </c>
      <c r="G66" s="35">
        <f>IF(F66="","",E66*F66)</f>
        <v/>
      </c>
    </row>
    <row r="67" ht="19.5" customHeight="1">
      <c r="A67" s="7" t="inlineStr">
        <is>
          <t xml:space="preserve">  ▸  FINAL FOUR  •  16 pts each</t>
        </is>
      </c>
      <c r="H67" s="80" t="n"/>
    </row>
    <row r="68" ht="15.75" customHeight="1">
      <c r="A68" s="36" t="inlineStr">
        <is>
          <t>Final 4</t>
        </is>
      </c>
      <c r="B68" s="58" t="inlineStr">
        <is>
          <t>Fin_G1</t>
        </is>
      </c>
      <c r="C68" s="37" t="inlineStr">
        <is>
          <t>Winner Game 1 &amp; 2</t>
        </is>
      </c>
      <c r="D68" s="59" t="inlineStr">
        <is>
          <t>Duke</t>
        </is>
      </c>
      <c r="E68" s="60" t="n">
        <v>16</v>
      </c>
      <c r="F68" s="39">
        <f>IF(Master_Results!$D$68="","",IF(D68=Master_Results!$D$68,1,0))</f>
        <v/>
      </c>
      <c r="G68" s="39">
        <f>IF(F68="","",E68*F68)</f>
        <v/>
      </c>
    </row>
    <row r="69" ht="15.75" customHeight="1">
      <c r="A69" s="36" t="inlineStr">
        <is>
          <t>Final 4</t>
        </is>
      </c>
      <c r="B69" s="58" t="inlineStr">
        <is>
          <t>Fin_G2</t>
        </is>
      </c>
      <c r="C69" s="37" t="inlineStr">
        <is>
          <t>Winner Game 3 &amp; 4</t>
        </is>
      </c>
      <c r="D69" s="59" t="inlineStr">
        <is>
          <t>Iowa</t>
        </is>
      </c>
      <c r="E69" s="60" t="n">
        <v>16</v>
      </c>
      <c r="F69" s="39">
        <f>IF(Master_Results!$D$69="","",IF(D69=Master_Results!$D$69,1,0))</f>
        <v/>
      </c>
      <c r="G69" s="39">
        <f>IF(F69="","",E69*F69)</f>
        <v/>
      </c>
    </row>
    <row r="70" ht="19.5" customHeight="1">
      <c r="A70" s="6" t="inlineStr">
        <is>
          <t xml:space="preserve">  ▸  CHAMPIONSHIP  •  32 pts</t>
        </is>
      </c>
      <c r="H70" s="80" t="n"/>
    </row>
    <row r="71" ht="15.75" customHeight="1">
      <c r="A71" s="40" t="inlineStr">
        <is>
          <t>Championship</t>
        </is>
      </c>
      <c r="B71" s="61" t="inlineStr">
        <is>
          <t>Cha_G1</t>
        </is>
      </c>
      <c r="C71" s="41" t="inlineStr">
        <is>
          <t>Winner Game 1 &amp; 2</t>
        </is>
      </c>
      <c r="D71" s="62" t="inlineStr">
        <is>
          <t>Duke</t>
        </is>
      </c>
      <c r="E71" s="63" t="n">
        <v>32</v>
      </c>
      <c r="F71" s="43">
        <f>IF(Master_Results!$D$71="","",IF(D71=Master_Results!$D$71,1,0))</f>
        <v/>
      </c>
      <c r="G71" s="43">
        <f>IF(F71="","",E71*F71)</f>
        <v/>
      </c>
    </row>
    <row r="73" ht="25.5" customHeight="1">
      <c r="A73" s="4" t="inlineStr">
        <is>
          <t>TOTAL SCORE</t>
        </is>
      </c>
      <c r="E73" s="80" t="n"/>
      <c r="F73" s="64" t="inlineStr">
        <is>
          <t>PTS REMAINING:</t>
        </is>
      </c>
      <c r="G73" s="65">
        <f>SUMIF(F3:F71,1,E3:E71)</f>
        <v/>
      </c>
      <c r="H73" s="66">
        <f>SUMIF(F3:F71,"",E3:E71)</f>
        <v/>
      </c>
    </row>
  </sheetData>
  <mergeCells count="8">
    <mergeCell ref="A70:H70"/>
    <mergeCell ref="A67:H67"/>
    <mergeCell ref="A62:H62"/>
    <mergeCell ref="A3:H3"/>
    <mergeCell ref="A53:H53"/>
    <mergeCell ref="A73:E73"/>
    <mergeCell ref="A36:H36"/>
    <mergeCell ref="A1:H1"/>
  </mergeCells>
  <conditionalFormatting sqref="A3:G71">
    <cfRule type="expression" priority="2" dxfId="4">
      <formula>$F3=1</formula>
    </cfRule>
    <cfRule type="expression" priority="3" dxfId="3">
      <formula>$F3=0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1"/>
  <sheetViews>
    <sheetView tabSelected="1" zoomScaleNormal="100" workbookViewId="0">
      <pane ySplit="2" topLeftCell="A5" activePane="bottomLeft" state="frozen"/>
      <selection pane="bottomLeft" activeCell="C2" sqref="C1:C1048576"/>
    </sheetView>
  </sheetViews>
  <sheetFormatPr baseColWidth="10" defaultColWidth="8.6640625" defaultRowHeight="15"/>
  <cols>
    <col width="16" customWidth="1" min="1" max="1"/>
    <col width="11" customWidth="1" min="2" max="2"/>
    <col width="36" customWidth="1" min="3" max="3"/>
    <col width="22" customWidth="1" min="4" max="4"/>
  </cols>
  <sheetData>
    <row r="1" ht="31.5" customHeight="1">
      <c r="A1" s="5" t="inlineStr">
        <is>
          <t>🏀  2026 NCAA TOURNAMENT — OFFICIAL RESULTS</t>
        </is>
      </c>
    </row>
    <row r="2" ht="19.5" customHeight="1">
      <c r="A2" s="44" t="inlineStr">
        <is>
          <t>Round</t>
        </is>
      </c>
      <c r="B2" s="44" t="inlineStr">
        <is>
          <t>Game ID</t>
        </is>
      </c>
      <c r="C2" s="44" t="inlineStr">
        <is>
          <t>Matchup</t>
        </is>
      </c>
      <c r="D2" s="44" t="inlineStr">
        <is>
          <t>Actual Winner</t>
        </is>
      </c>
    </row>
    <row r="3" ht="18.75" customHeight="1">
      <c r="A3" s="11" t="inlineStr">
        <is>
          <t xml:space="preserve">  ▸  ROUND OF 64</t>
        </is>
      </c>
      <c r="D3" s="80" t="n"/>
    </row>
    <row r="4" ht="15.75" customHeight="1">
      <c r="A4" s="48" t="inlineStr">
        <is>
          <t>Round of 64</t>
        </is>
      </c>
      <c r="B4" s="48" t="inlineStr">
        <is>
          <t>R64_G1</t>
        </is>
      </c>
      <c r="C4" s="21" t="inlineStr">
        <is>
          <t>(1) Duke vs (16) Siena</t>
        </is>
      </c>
      <c r="D4" s="48" t="inlineStr">
        <is>
          <t>Duke</t>
        </is>
      </c>
    </row>
    <row r="5" ht="15.75" customHeight="1">
      <c r="A5" s="48" t="inlineStr">
        <is>
          <t>Round of 64</t>
        </is>
      </c>
      <c r="B5" s="48" t="inlineStr">
        <is>
          <t>R64_G2</t>
        </is>
      </c>
      <c r="C5" s="21" t="inlineStr">
        <is>
          <t>(8) Ohio St vs (9) TCU</t>
        </is>
      </c>
      <c r="D5" s="67" t="inlineStr">
        <is>
          <t>TCU</t>
        </is>
      </c>
    </row>
    <row r="6" ht="15.75" customHeight="1">
      <c r="A6" s="48" t="inlineStr">
        <is>
          <t>Round of 64</t>
        </is>
      </c>
      <c r="B6" s="48" t="inlineStr">
        <is>
          <t>R64_G3</t>
        </is>
      </c>
      <c r="C6" s="21" t="inlineStr">
        <is>
          <t>(5) St. John's vs (12) Northern Iowa</t>
        </is>
      </c>
      <c r="D6" s="48" t="n"/>
    </row>
    <row r="7" ht="15.75" customHeight="1">
      <c r="A7" s="48" t="inlineStr">
        <is>
          <t>Round of 64</t>
        </is>
      </c>
      <c r="B7" s="48" t="inlineStr">
        <is>
          <t>R64_G4</t>
        </is>
      </c>
      <c r="C7" s="21" t="inlineStr">
        <is>
          <t>(4) Kansas vs (13) Cal Baptist</t>
        </is>
      </c>
      <c r="D7" s="48" t="n"/>
    </row>
    <row r="8" ht="15.75" customHeight="1">
      <c r="A8" s="48" t="inlineStr">
        <is>
          <t>Round of 64</t>
        </is>
      </c>
      <c r="B8" s="48" t="inlineStr">
        <is>
          <t>R64_G5</t>
        </is>
      </c>
      <c r="C8" s="21" t="inlineStr">
        <is>
          <t>(6) Louisville vs (11) South Florida</t>
        </is>
      </c>
      <c r="D8" s="48" t="inlineStr">
        <is>
          <t>Louisville</t>
        </is>
      </c>
    </row>
    <row r="9" ht="15.75" customHeight="1">
      <c r="A9" s="48" t="inlineStr">
        <is>
          <t>Round of 64</t>
        </is>
      </c>
      <c r="B9" s="48" t="inlineStr">
        <is>
          <t>R64_G6</t>
        </is>
      </c>
      <c r="C9" s="21" t="inlineStr">
        <is>
          <t>(3) Michigan St vs (14) ND State</t>
        </is>
      </c>
      <c r="D9" s="48" t="n"/>
    </row>
    <row r="10" ht="15.75" customHeight="1">
      <c r="A10" s="48" t="inlineStr">
        <is>
          <t>Round of 64</t>
        </is>
      </c>
      <c r="B10" s="48" t="inlineStr">
        <is>
          <t>R64_G7</t>
        </is>
      </c>
      <c r="C10" s="21" t="inlineStr">
        <is>
          <t>(7) UCLA vs (10) UCF</t>
        </is>
      </c>
      <c r="D10" s="48" t="n"/>
    </row>
    <row r="11" ht="15.75" customHeight="1">
      <c r="A11" s="48" t="inlineStr">
        <is>
          <t>Round of 64</t>
        </is>
      </c>
      <c r="B11" s="48" t="inlineStr">
        <is>
          <t>R64_G8</t>
        </is>
      </c>
      <c r="C11" s="21" t="inlineStr">
        <is>
          <t>(2) UConn vs (15) Furman</t>
        </is>
      </c>
      <c r="D11" s="48" t="n"/>
    </row>
    <row r="12" ht="15.75" customHeight="1">
      <c r="A12" s="48" t="inlineStr">
        <is>
          <t>Round of 64</t>
        </is>
      </c>
      <c r="B12" s="48" t="inlineStr">
        <is>
          <t>R64_G9</t>
        </is>
      </c>
      <c r="C12" s="21" t="inlineStr">
        <is>
          <t>(1) Florida vs (16) Prairie View A&amp;M</t>
        </is>
      </c>
      <c r="D12" s="48" t="n"/>
    </row>
    <row r="13" ht="15.75" customHeight="1">
      <c r="A13" s="48" t="inlineStr">
        <is>
          <t>Round of 64</t>
        </is>
      </c>
      <c r="B13" s="48" t="inlineStr">
        <is>
          <t>R64_G10</t>
        </is>
      </c>
      <c r="C13" s="21" t="inlineStr">
        <is>
          <t>(8) Clemson vs (9) Iowa</t>
        </is>
      </c>
      <c r="D13" s="48" t="n"/>
    </row>
    <row r="14" ht="15.75" customHeight="1">
      <c r="A14" s="48" t="inlineStr">
        <is>
          <t>Round of 64</t>
        </is>
      </c>
      <c r="B14" s="48" t="inlineStr">
        <is>
          <t>R64_G11</t>
        </is>
      </c>
      <c r="C14" s="21" t="inlineStr">
        <is>
          <t>(5) Vandy vs (12) McNeese</t>
        </is>
      </c>
      <c r="D14" s="48" t="inlineStr">
        <is>
          <t>Vandy</t>
        </is>
      </c>
    </row>
    <row r="15" ht="15.75" customHeight="1">
      <c r="A15" s="48" t="inlineStr">
        <is>
          <t>Round of 64</t>
        </is>
      </c>
      <c r="B15" s="48" t="inlineStr">
        <is>
          <t>R64_G12</t>
        </is>
      </c>
      <c r="C15" s="21" t="inlineStr">
        <is>
          <t>(4) Nebraska vs (13) Troy</t>
        </is>
      </c>
      <c r="D15" s="67" t="inlineStr">
        <is>
          <t>Nebraska</t>
        </is>
      </c>
    </row>
    <row r="16" ht="15.75" customHeight="1">
      <c r="A16" s="48" t="inlineStr">
        <is>
          <t>Round of 64</t>
        </is>
      </c>
      <c r="B16" s="48" t="inlineStr">
        <is>
          <t>R64_G13</t>
        </is>
      </c>
      <c r="C16" s="21" t="inlineStr">
        <is>
          <t>(6) North Carolina vs (11) VCU</t>
        </is>
      </c>
      <c r="D16" s="48" t="inlineStr">
        <is>
          <t>VCU</t>
        </is>
      </c>
    </row>
    <row r="17" ht="15.75" customHeight="1">
      <c r="A17" s="48" t="inlineStr">
        <is>
          <t>Round of 64</t>
        </is>
      </c>
      <c r="B17" s="48" t="inlineStr">
        <is>
          <t>R64_G14</t>
        </is>
      </c>
      <c r="C17" s="21" t="inlineStr">
        <is>
          <t>(3) Illinois vs (14) Penn</t>
        </is>
      </c>
      <c r="D17" s="48" t="n"/>
    </row>
    <row r="18" ht="15.75" customHeight="1">
      <c r="A18" s="48" t="inlineStr">
        <is>
          <t>Round of 64</t>
        </is>
      </c>
      <c r="B18" s="48" t="inlineStr">
        <is>
          <t>R64_G15</t>
        </is>
      </c>
      <c r="C18" s="21" t="inlineStr">
        <is>
          <t>(7) St. Mary's vs (10) Texas A&amp;M</t>
        </is>
      </c>
      <c r="D18" s="48" t="n"/>
    </row>
    <row r="19" ht="15.75" customHeight="1">
      <c r="A19" s="48" t="inlineStr">
        <is>
          <t>Round of 64</t>
        </is>
      </c>
      <c r="B19" s="48" t="inlineStr">
        <is>
          <t>R64_G16</t>
        </is>
      </c>
      <c r="C19" s="21" t="inlineStr">
        <is>
          <t>(2) Houston vs (15) Idaho</t>
        </is>
      </c>
      <c r="D19" s="48" t="n"/>
    </row>
    <row r="20" ht="15.75" customHeight="1">
      <c r="A20" s="48" t="inlineStr">
        <is>
          <t>Round of 64</t>
        </is>
      </c>
      <c r="B20" s="48" t="inlineStr">
        <is>
          <t>R64_G17</t>
        </is>
      </c>
      <c r="C20" s="21" t="inlineStr">
        <is>
          <t>(1) Arizona vs (16) Long Island</t>
        </is>
      </c>
      <c r="D20" s="48" t="n"/>
    </row>
    <row r="21" ht="15.75" customHeight="1">
      <c r="A21" s="48" t="inlineStr">
        <is>
          <t>Round of 64</t>
        </is>
      </c>
      <c r="B21" s="48" t="inlineStr">
        <is>
          <t>R64_G18</t>
        </is>
      </c>
      <c r="C21" s="21" t="inlineStr">
        <is>
          <t>(8) Villanova vs (9) Utah St</t>
        </is>
      </c>
      <c r="D21" s="48" t="n"/>
    </row>
    <row r="22" ht="15.75" customHeight="1">
      <c r="A22" s="48" t="inlineStr">
        <is>
          <t>Round of 64</t>
        </is>
      </c>
      <c r="B22" s="48" t="inlineStr">
        <is>
          <t>R64_G19</t>
        </is>
      </c>
      <c r="C22" s="21" t="inlineStr">
        <is>
          <t>(5) Wisconsin vs (12) High Point</t>
        </is>
      </c>
      <c r="D22" s="48" t="inlineStr">
        <is>
          <t>High Point</t>
        </is>
      </c>
    </row>
    <row r="23" ht="15.75" customHeight="1">
      <c r="A23" s="48" t="inlineStr">
        <is>
          <t>Round of 64</t>
        </is>
      </c>
      <c r="B23" s="48" t="inlineStr">
        <is>
          <t>R64_G20</t>
        </is>
      </c>
      <c r="C23" s="21" t="inlineStr">
        <is>
          <t>(4) Arkansas vs (13) Hawai'i</t>
        </is>
      </c>
      <c r="D23" s="48" t="inlineStr">
        <is>
          <t>Arkansas</t>
        </is>
      </c>
    </row>
    <row r="24" ht="15.75" customHeight="1">
      <c r="A24" s="48" t="inlineStr">
        <is>
          <t>Round of 64</t>
        </is>
      </c>
      <c r="B24" s="48" t="inlineStr">
        <is>
          <t>R64_G21</t>
        </is>
      </c>
      <c r="C24" s="21" t="inlineStr">
        <is>
          <t>(6) BYU vs (11) Texas</t>
        </is>
      </c>
      <c r="D24" s="48" t="n"/>
    </row>
    <row r="25" ht="15.75" customHeight="1">
      <c r="A25" s="48" t="inlineStr">
        <is>
          <t>Round of 64</t>
        </is>
      </c>
      <c r="B25" s="48" t="inlineStr">
        <is>
          <t>R64_G22</t>
        </is>
      </c>
      <c r="C25" s="21" t="inlineStr">
        <is>
          <t>(3) Gonzaga vs (14) Kennesaw St</t>
        </is>
      </c>
      <c r="D25" s="48" t="n"/>
    </row>
    <row r="26" ht="15.75" customHeight="1">
      <c r="A26" s="48" t="inlineStr">
        <is>
          <t>Round of 64</t>
        </is>
      </c>
      <c r="B26" s="48" t="inlineStr">
        <is>
          <t>R64_G23</t>
        </is>
      </c>
      <c r="C26" s="21" t="inlineStr">
        <is>
          <t>(7) Miami (FL) vs (10) Missouri</t>
        </is>
      </c>
      <c r="D26" s="48" t="n"/>
    </row>
    <row r="27" ht="15.75" customHeight="1">
      <c r="A27" s="48" t="inlineStr">
        <is>
          <t>Round of 64</t>
        </is>
      </c>
      <c r="B27" s="48" t="inlineStr">
        <is>
          <t>R64_G24</t>
        </is>
      </c>
      <c r="C27" s="21" t="inlineStr">
        <is>
          <t>(2) Purdue vs (15) Queens</t>
        </is>
      </c>
      <c r="D27" s="48" t="n"/>
    </row>
    <row r="28" ht="15.75" customHeight="1">
      <c r="A28" s="48" t="inlineStr">
        <is>
          <t>Round of 64</t>
        </is>
      </c>
      <c r="B28" s="48" t="inlineStr">
        <is>
          <t>R64_G25</t>
        </is>
      </c>
      <c r="C28" s="21" t="inlineStr">
        <is>
          <t>(1) Michigan vs (16) Howard</t>
        </is>
      </c>
      <c r="D28" s="48" t="n"/>
    </row>
    <row r="29" ht="15.75" customHeight="1">
      <c r="A29" s="48" t="inlineStr">
        <is>
          <t>Round of 64</t>
        </is>
      </c>
      <c r="B29" s="48" t="inlineStr">
        <is>
          <t>R64_G26</t>
        </is>
      </c>
      <c r="C29" s="21" t="inlineStr">
        <is>
          <t>(8) Georgia vs (9) St. Louis</t>
        </is>
      </c>
      <c r="D29" s="48" t="n"/>
    </row>
    <row r="30" ht="15.75" customHeight="1">
      <c r="A30" s="48" t="inlineStr">
        <is>
          <t>Round of 64</t>
        </is>
      </c>
      <c r="B30" s="48" t="inlineStr">
        <is>
          <t>R64_G27</t>
        </is>
      </c>
      <c r="C30" s="21" t="inlineStr">
        <is>
          <t>(5) Texas Tech vs (12) Akron</t>
        </is>
      </c>
      <c r="D30" s="48" t="n"/>
    </row>
    <row r="31" ht="15.75" customHeight="1">
      <c r="A31" s="48" t="inlineStr">
        <is>
          <t>Round of 64</t>
        </is>
      </c>
      <c r="B31" s="48" t="inlineStr">
        <is>
          <t>R64_G28</t>
        </is>
      </c>
      <c r="C31" s="21" t="inlineStr">
        <is>
          <t>(4) Alabama vs (13) Hofstra</t>
        </is>
      </c>
      <c r="D31" s="48" t="n"/>
    </row>
    <row r="32" ht="15.75" customHeight="1">
      <c r="A32" s="48" t="inlineStr">
        <is>
          <t>Round of 64</t>
        </is>
      </c>
      <c r="B32" s="48" t="inlineStr">
        <is>
          <t>R64_G29</t>
        </is>
      </c>
      <c r="C32" s="21" t="inlineStr">
        <is>
          <t>(6) Tennessee vs (11) Miami (OH)</t>
        </is>
      </c>
      <c r="D32" s="48" t="n"/>
    </row>
    <row r="33" ht="15.75" customHeight="1">
      <c r="A33" s="48" t="inlineStr">
        <is>
          <t>Round of 64</t>
        </is>
      </c>
      <c r="B33" s="48" t="inlineStr">
        <is>
          <t>R64_G30</t>
        </is>
      </c>
      <c r="C33" s="21" t="inlineStr">
        <is>
          <t>(3) Virginia vs (14) Wright St</t>
        </is>
      </c>
      <c r="D33" s="48" t="n"/>
    </row>
    <row r="34" ht="15.75" customHeight="1">
      <c r="A34" s="48" t="inlineStr">
        <is>
          <t>Round of 64</t>
        </is>
      </c>
      <c r="B34" s="48" t="inlineStr">
        <is>
          <t>R64_G31</t>
        </is>
      </c>
      <c r="C34" s="21" t="inlineStr">
        <is>
          <t>(7) Kentucky vs (10) Santa Clara</t>
        </is>
      </c>
      <c r="D34" s="48" t="n"/>
    </row>
    <row r="35" ht="15.75" customHeight="1">
      <c r="A35" s="48" t="inlineStr">
        <is>
          <t>Round of 64</t>
        </is>
      </c>
      <c r="B35" s="48" t="inlineStr">
        <is>
          <t>R64_G32</t>
        </is>
      </c>
      <c r="C35" s="21" t="inlineStr">
        <is>
          <t>(2) Iowa St vs (15) Tenn St</t>
        </is>
      </c>
      <c r="D35" s="48" t="n"/>
    </row>
    <row r="36" ht="18.75" customHeight="1">
      <c r="A36" s="10" t="inlineStr">
        <is>
          <t xml:space="preserve">  ▸  ROUND OF 32</t>
        </is>
      </c>
      <c r="D36" s="80" t="n"/>
    </row>
    <row r="37" ht="15.75" customHeight="1">
      <c r="A37" s="51" t="inlineStr">
        <is>
          <t>Round of 32</t>
        </is>
      </c>
      <c r="B37" s="51" t="inlineStr">
        <is>
          <t>Rou_G1</t>
        </is>
      </c>
      <c r="C37" s="25" t="inlineStr">
        <is>
          <t>Winner Game 1 &amp; 2</t>
        </is>
      </c>
      <c r="D37" s="51" t="n"/>
    </row>
    <row r="38" ht="15.75" customHeight="1">
      <c r="A38" s="51" t="inlineStr">
        <is>
          <t>Round of 32</t>
        </is>
      </c>
      <c r="B38" s="51" t="inlineStr">
        <is>
          <t>Rou_G2</t>
        </is>
      </c>
      <c r="C38" s="25" t="inlineStr">
        <is>
          <t>Winner Game 3 &amp; 4</t>
        </is>
      </c>
      <c r="D38" s="51" t="n"/>
    </row>
    <row r="39" ht="15.75" customHeight="1">
      <c r="A39" s="51" t="inlineStr">
        <is>
          <t>Round of 32</t>
        </is>
      </c>
      <c r="B39" s="51" t="inlineStr">
        <is>
          <t>Rou_G3</t>
        </is>
      </c>
      <c r="C39" s="25" t="inlineStr">
        <is>
          <t>Winner Game 5 &amp; 6</t>
        </is>
      </c>
      <c r="D39" s="51" t="n"/>
    </row>
    <row r="40" ht="15.75" customHeight="1">
      <c r="A40" s="51" t="inlineStr">
        <is>
          <t>Round of 32</t>
        </is>
      </c>
      <c r="B40" s="51" t="inlineStr">
        <is>
          <t>Rou_G4</t>
        </is>
      </c>
      <c r="C40" s="25" t="inlineStr">
        <is>
          <t>Winner Game 7 &amp; 8</t>
        </is>
      </c>
      <c r="D40" s="51" t="n"/>
    </row>
    <row r="41" ht="15.75" customHeight="1">
      <c r="A41" s="51" t="inlineStr">
        <is>
          <t>Round of 32</t>
        </is>
      </c>
      <c r="B41" s="51" t="inlineStr">
        <is>
          <t>Rou_G5</t>
        </is>
      </c>
      <c r="C41" s="25" t="inlineStr">
        <is>
          <t>Winner Game 9 &amp; 10</t>
        </is>
      </c>
      <c r="D41" s="51" t="n"/>
    </row>
    <row r="42" ht="15.75" customHeight="1">
      <c r="A42" s="51" t="inlineStr">
        <is>
          <t>Round of 32</t>
        </is>
      </c>
      <c r="B42" s="51" t="inlineStr">
        <is>
          <t>Rou_G6</t>
        </is>
      </c>
      <c r="C42" s="25" t="inlineStr">
        <is>
          <t>Winner Game 11 &amp; 12</t>
        </is>
      </c>
      <c r="D42" s="51" t="n"/>
    </row>
    <row r="43" ht="15.75" customHeight="1">
      <c r="A43" s="51" t="inlineStr">
        <is>
          <t>Round of 32</t>
        </is>
      </c>
      <c r="B43" s="51" t="inlineStr">
        <is>
          <t>Rou_G7</t>
        </is>
      </c>
      <c r="C43" s="25" t="inlineStr">
        <is>
          <t>Winner Game 13 &amp; 14</t>
        </is>
      </c>
      <c r="D43" s="51" t="n"/>
    </row>
    <row r="44" ht="15.75" customHeight="1">
      <c r="A44" s="51" t="inlineStr">
        <is>
          <t>Round of 32</t>
        </is>
      </c>
      <c r="B44" s="51" t="inlineStr">
        <is>
          <t>Rou_G8</t>
        </is>
      </c>
      <c r="C44" s="25" t="inlineStr">
        <is>
          <t>Winner Game 15 &amp; 16</t>
        </is>
      </c>
      <c r="D44" s="51" t="n"/>
    </row>
    <row r="45" ht="15.75" customHeight="1">
      <c r="A45" s="51" t="inlineStr">
        <is>
          <t>Round of 32</t>
        </is>
      </c>
      <c r="B45" s="51" t="inlineStr">
        <is>
          <t>Rou_G9</t>
        </is>
      </c>
      <c r="C45" s="25" t="inlineStr">
        <is>
          <t>Winner Game 17 &amp; 18</t>
        </is>
      </c>
      <c r="D45" s="51" t="n"/>
    </row>
    <row r="46" ht="15.75" customHeight="1">
      <c r="A46" s="51" t="inlineStr">
        <is>
          <t>Round of 32</t>
        </is>
      </c>
      <c r="B46" s="51" t="inlineStr">
        <is>
          <t>Rou_G10</t>
        </is>
      </c>
      <c r="C46" s="25" t="inlineStr">
        <is>
          <t>Winner Game 19 &amp; 20</t>
        </is>
      </c>
      <c r="D46" s="51" t="n"/>
    </row>
    <row r="47" ht="15.75" customHeight="1">
      <c r="A47" s="51" t="inlineStr">
        <is>
          <t>Round of 32</t>
        </is>
      </c>
      <c r="B47" s="51" t="inlineStr">
        <is>
          <t>Rou_G11</t>
        </is>
      </c>
      <c r="C47" s="25" t="inlineStr">
        <is>
          <t>Winner Game 21 &amp; 22</t>
        </is>
      </c>
      <c r="D47" s="51" t="n"/>
    </row>
    <row r="48" ht="15.75" customHeight="1">
      <c r="A48" s="51" t="inlineStr">
        <is>
          <t>Round of 32</t>
        </is>
      </c>
      <c r="B48" s="51" t="inlineStr">
        <is>
          <t>Rou_G12</t>
        </is>
      </c>
      <c r="C48" s="25" t="inlineStr">
        <is>
          <t>Winner Game 23 &amp; 24</t>
        </is>
      </c>
      <c r="D48" s="51" t="n"/>
    </row>
    <row r="49" ht="15.75" customHeight="1">
      <c r="A49" s="51" t="inlineStr">
        <is>
          <t>Round of 32</t>
        </is>
      </c>
      <c r="B49" s="51" t="inlineStr">
        <is>
          <t>Rou_G13</t>
        </is>
      </c>
      <c r="C49" s="25" t="inlineStr">
        <is>
          <t>Winner Game 25 &amp; 26</t>
        </is>
      </c>
      <c r="D49" s="51" t="n"/>
    </row>
    <row r="50" ht="15.75" customHeight="1">
      <c r="A50" s="51" t="inlineStr">
        <is>
          <t>Round of 32</t>
        </is>
      </c>
      <c r="B50" s="51" t="inlineStr">
        <is>
          <t>Rou_G14</t>
        </is>
      </c>
      <c r="C50" s="25" t="inlineStr">
        <is>
          <t>Winner Game 27 &amp; 28</t>
        </is>
      </c>
      <c r="D50" s="51" t="n"/>
    </row>
    <row r="51" ht="15.75" customHeight="1">
      <c r="A51" s="51" t="inlineStr">
        <is>
          <t>Round of 32</t>
        </is>
      </c>
      <c r="B51" s="51" t="inlineStr">
        <is>
          <t>Rou_G15</t>
        </is>
      </c>
      <c r="C51" s="25" t="inlineStr">
        <is>
          <t>Winner Game 29 &amp; 30</t>
        </is>
      </c>
      <c r="D51" s="51" t="n"/>
    </row>
    <row r="52" ht="15.75" customHeight="1">
      <c r="A52" s="51" t="inlineStr">
        <is>
          <t>Round of 32</t>
        </is>
      </c>
      <c r="B52" s="51" t="inlineStr">
        <is>
          <t>Rou_G16</t>
        </is>
      </c>
      <c r="C52" s="25" t="inlineStr">
        <is>
          <t>Winner Game 31 &amp; 32</t>
        </is>
      </c>
      <c r="D52" s="51" t="n"/>
    </row>
    <row r="53" ht="18.75" customHeight="1">
      <c r="A53" s="9" t="inlineStr">
        <is>
          <t xml:space="preserve">  ▸  SWEET 16</t>
        </is>
      </c>
      <c r="D53" s="80" t="n"/>
    </row>
    <row r="54" ht="15.75" customHeight="1">
      <c r="A54" s="54" t="inlineStr">
        <is>
          <t>Sweet 16</t>
        </is>
      </c>
      <c r="B54" s="54" t="inlineStr">
        <is>
          <t>Swe_G1</t>
        </is>
      </c>
      <c r="C54" s="29" t="inlineStr">
        <is>
          <t>Winner Game 1 &amp; 2</t>
        </is>
      </c>
      <c r="D54" s="54" t="n"/>
    </row>
    <row r="55" ht="15.75" customHeight="1">
      <c r="A55" s="54" t="inlineStr">
        <is>
          <t>Sweet 16</t>
        </is>
      </c>
      <c r="B55" s="54" t="inlineStr">
        <is>
          <t>Swe_G2</t>
        </is>
      </c>
      <c r="C55" s="29" t="inlineStr">
        <is>
          <t>Winner Game 3 &amp; 4</t>
        </is>
      </c>
      <c r="D55" s="54" t="n"/>
    </row>
    <row r="56" ht="15.75" customHeight="1">
      <c r="A56" s="54" t="inlineStr">
        <is>
          <t>Sweet 16</t>
        </is>
      </c>
      <c r="B56" s="54" t="inlineStr">
        <is>
          <t>Swe_G3</t>
        </is>
      </c>
      <c r="C56" s="29" t="inlineStr">
        <is>
          <t>Winner Game 5 &amp; 6</t>
        </is>
      </c>
      <c r="D56" s="54" t="n"/>
    </row>
    <row r="57" ht="15.75" customHeight="1">
      <c r="A57" s="54" t="inlineStr">
        <is>
          <t>Sweet 16</t>
        </is>
      </c>
      <c r="B57" s="54" t="inlineStr">
        <is>
          <t>Swe_G4</t>
        </is>
      </c>
      <c r="C57" s="29" t="inlineStr">
        <is>
          <t>Winner Game 7 &amp; 8</t>
        </is>
      </c>
      <c r="D57" s="54" t="n"/>
    </row>
    <row r="58" ht="15.75" customHeight="1">
      <c r="A58" s="54" t="inlineStr">
        <is>
          <t>Sweet 16</t>
        </is>
      </c>
      <c r="B58" s="54" t="inlineStr">
        <is>
          <t>Swe_G5</t>
        </is>
      </c>
      <c r="C58" s="29" t="inlineStr">
        <is>
          <t>Winner Game 9 &amp; 10</t>
        </is>
      </c>
      <c r="D58" s="54" t="n"/>
    </row>
    <row r="59" ht="15.75" customHeight="1">
      <c r="A59" s="54" t="inlineStr">
        <is>
          <t>Sweet 16</t>
        </is>
      </c>
      <c r="B59" s="54" t="inlineStr">
        <is>
          <t>Swe_G6</t>
        </is>
      </c>
      <c r="C59" s="29" t="inlineStr">
        <is>
          <t>Winner Game 11 &amp; 12</t>
        </is>
      </c>
      <c r="D59" s="54" t="n"/>
    </row>
    <row r="60" ht="15.75" customHeight="1">
      <c r="A60" s="54" t="inlineStr">
        <is>
          <t>Sweet 16</t>
        </is>
      </c>
      <c r="B60" s="54" t="inlineStr">
        <is>
          <t>Swe_G7</t>
        </is>
      </c>
      <c r="C60" s="29" t="inlineStr">
        <is>
          <t>Winner Game 13 &amp; 14</t>
        </is>
      </c>
      <c r="D60" s="54" t="n"/>
    </row>
    <row r="61" ht="15.75" customHeight="1">
      <c r="A61" s="54" t="inlineStr">
        <is>
          <t>Sweet 16</t>
        </is>
      </c>
      <c r="B61" s="54" t="inlineStr">
        <is>
          <t>Swe_G8</t>
        </is>
      </c>
      <c r="C61" s="29" t="inlineStr">
        <is>
          <t>Winner Game 15 &amp; 16</t>
        </is>
      </c>
      <c r="D61" s="54" t="n"/>
    </row>
    <row r="62" ht="18.75" customHeight="1">
      <c r="A62" s="8" t="inlineStr">
        <is>
          <t xml:space="preserve">  ▸  ELITE 8</t>
        </is>
      </c>
      <c r="D62" s="80" t="n"/>
    </row>
    <row r="63" ht="15.75" customHeight="1">
      <c r="A63" s="57" t="inlineStr">
        <is>
          <t>Elite 8</t>
        </is>
      </c>
      <c r="B63" s="57" t="inlineStr">
        <is>
          <t>Eli_G1</t>
        </is>
      </c>
      <c r="C63" s="33" t="inlineStr">
        <is>
          <t>Winner Game 1 &amp; 2</t>
        </is>
      </c>
      <c r="D63" s="57" t="n"/>
    </row>
    <row r="64" ht="15.75" customHeight="1">
      <c r="A64" s="57" t="inlineStr">
        <is>
          <t>Elite 8</t>
        </is>
      </c>
      <c r="B64" s="57" t="inlineStr">
        <is>
          <t>Eli_G2</t>
        </is>
      </c>
      <c r="C64" s="33" t="inlineStr">
        <is>
          <t>Winner Game 3 &amp; 4</t>
        </is>
      </c>
      <c r="D64" s="57" t="n"/>
    </row>
    <row r="65" ht="15.75" customHeight="1">
      <c r="A65" s="57" t="inlineStr">
        <is>
          <t>Elite 8</t>
        </is>
      </c>
      <c r="B65" s="57" t="inlineStr">
        <is>
          <t>Eli_G3</t>
        </is>
      </c>
      <c r="C65" s="33" t="inlineStr">
        <is>
          <t>Winner Game 5 &amp; 6</t>
        </is>
      </c>
      <c r="D65" s="57" t="n"/>
    </row>
    <row r="66" ht="15.75" customHeight="1">
      <c r="A66" s="57" t="inlineStr">
        <is>
          <t>Elite 8</t>
        </is>
      </c>
      <c r="B66" s="57" t="inlineStr">
        <is>
          <t>Eli_G4</t>
        </is>
      </c>
      <c r="C66" s="33" t="inlineStr">
        <is>
          <t>Winner Game 7 &amp; 8</t>
        </is>
      </c>
      <c r="D66" s="57" t="n"/>
    </row>
    <row r="67" ht="18.75" customHeight="1">
      <c r="A67" s="7" t="inlineStr">
        <is>
          <t xml:space="preserve">  ▸  FINAL 4</t>
        </is>
      </c>
      <c r="D67" s="80" t="n"/>
    </row>
    <row r="68" ht="15.75" customHeight="1">
      <c r="A68" s="60" t="inlineStr">
        <is>
          <t>Final 4</t>
        </is>
      </c>
      <c r="B68" s="60" t="inlineStr">
        <is>
          <t>Fin_G1</t>
        </is>
      </c>
      <c r="C68" s="37" t="inlineStr">
        <is>
          <t>Winner Game 1 &amp; 2</t>
        </is>
      </c>
      <c r="D68" s="60" t="n"/>
    </row>
    <row r="69" ht="15.75" customHeight="1">
      <c r="A69" s="60" t="inlineStr">
        <is>
          <t>Final 4</t>
        </is>
      </c>
      <c r="B69" s="60" t="inlineStr">
        <is>
          <t>Fin_G2</t>
        </is>
      </c>
      <c r="C69" s="37" t="inlineStr">
        <is>
          <t>Winner Game 3 &amp; 4</t>
        </is>
      </c>
      <c r="D69" s="60" t="n"/>
    </row>
    <row r="70" ht="18.75" customHeight="1">
      <c r="A70" s="6" t="inlineStr">
        <is>
          <t xml:space="preserve">  ▸  CHAMPIONSHIP</t>
        </is>
      </c>
      <c r="D70" s="80" t="n"/>
    </row>
    <row r="71" ht="15.75" customHeight="1">
      <c r="A71" s="63" t="inlineStr">
        <is>
          <t>Championship</t>
        </is>
      </c>
      <c r="B71" s="63" t="inlineStr">
        <is>
          <t>Cha_G1</t>
        </is>
      </c>
      <c r="C71" s="41" t="inlineStr">
        <is>
          <t>Winner Game 1 &amp; 2</t>
        </is>
      </c>
      <c r="D71" s="63" t="n"/>
    </row>
  </sheetData>
  <mergeCells count="7">
    <mergeCell ref="A1:D1"/>
    <mergeCell ref="A70:D70"/>
    <mergeCell ref="A67:D67"/>
    <mergeCell ref="A53:D53"/>
    <mergeCell ref="A62:D62"/>
    <mergeCell ref="A3:D3"/>
    <mergeCell ref="A36:D36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selection activeCell="G15" sqref="G15"/>
    </sheetView>
  </sheetViews>
  <sheetFormatPr baseColWidth="10" defaultColWidth="8.6640625" defaultRowHeight="15"/>
  <cols>
    <col width="8" customWidth="1" min="1" max="1"/>
    <col width="16" customWidth="1" min="2" max="2"/>
    <col width="18" customWidth="1" min="3" max="3"/>
    <col width="15" customWidth="1" min="4" max="4"/>
    <col width="14" customWidth="1" min="5" max="6"/>
  </cols>
  <sheetData>
    <row r="1" ht="39.75" customHeight="1">
      <c r="A1" s="3" t="inlineStr">
        <is>
          <t>🏆  2026 OFFICE MARCH MADNESS — LEADERBOARD</t>
        </is>
      </c>
    </row>
    <row r="2" ht="18" customHeight="1">
      <c r="A2" s="2" t="inlineStr">
        <is>
          <t>Scores update automatically as results are entered in Master_Results</t>
        </is>
      </c>
    </row>
    <row r="3" ht="21.75" customHeight="1">
      <c r="A3" s="44" t="inlineStr">
        <is>
          <t>Rank</t>
        </is>
      </c>
      <c r="B3" s="44" t="inlineStr">
        <is>
          <t>Participant</t>
        </is>
      </c>
      <c r="C3" s="44" t="inlineStr">
        <is>
          <t>Champion Pick</t>
        </is>
      </c>
      <c r="D3" s="44" t="inlineStr">
        <is>
          <t>Current Score</t>
        </is>
      </c>
      <c r="E3" s="44" t="inlineStr">
        <is>
          <t>Pts Remaining</t>
        </is>
      </c>
      <c r="F3" s="44" t="inlineStr">
        <is>
          <t>Max Possible</t>
        </is>
      </c>
    </row>
    <row r="4" ht="27.75" customHeight="1">
      <c r="A4" s="68">
        <f>RANK(D4,$D$4:$D$9,0)</f>
        <v/>
      </c>
      <c r="B4" s="69" t="inlineStr">
        <is>
          <t>Raman</t>
        </is>
      </c>
      <c r="C4" s="70">
        <f>Raman!D71</f>
        <v/>
      </c>
      <c r="D4" s="71">
        <f>Raman!G73</f>
        <v/>
      </c>
      <c r="E4" s="70">
        <f>Raman!H73</f>
        <v/>
      </c>
      <c r="F4" s="72">
        <f>D4+E4</f>
        <v/>
      </c>
    </row>
    <row r="5" ht="27.75" customHeight="1">
      <c r="A5" s="68">
        <f>RANK(D5,$D$4:$D$9,0)</f>
        <v/>
      </c>
      <c r="B5" s="69" t="inlineStr">
        <is>
          <t>Porter</t>
        </is>
      </c>
      <c r="C5" s="70">
        <f>Porter!D71</f>
        <v/>
      </c>
      <c r="D5" s="71">
        <f>Porter!G73</f>
        <v/>
      </c>
      <c r="E5" s="70">
        <f>Porter!H73</f>
        <v/>
      </c>
      <c r="F5" s="72">
        <f>D5+E5</f>
        <v/>
      </c>
    </row>
    <row r="6" ht="27.75" customHeight="1">
      <c r="A6" s="68">
        <f>RANK(D6,$D$4:$D$9,0)</f>
        <v/>
      </c>
      <c r="B6" s="69" t="inlineStr">
        <is>
          <t>Chuck</t>
        </is>
      </c>
      <c r="C6" s="70">
        <f>Chuck!D71</f>
        <v/>
      </c>
      <c r="D6" s="71">
        <f>Chuck!G73</f>
        <v/>
      </c>
      <c r="E6" s="70">
        <f>Chuck!H73</f>
        <v/>
      </c>
      <c r="F6" s="72">
        <f>D6+E6</f>
        <v/>
      </c>
    </row>
    <row r="7" ht="27.75" customHeight="1">
      <c r="A7" s="68">
        <f>RANK(D7,$D$4:$D$9,0)</f>
        <v/>
      </c>
      <c r="B7" s="69" t="inlineStr">
        <is>
          <t>Shelly</t>
        </is>
      </c>
      <c r="C7" s="70">
        <f>Shelly!D71</f>
        <v/>
      </c>
      <c r="D7" s="71">
        <f>Shelly!G73</f>
        <v/>
      </c>
      <c r="E7" s="70">
        <f>Shelly!H73</f>
        <v/>
      </c>
      <c r="F7" s="72">
        <f>D7+E7</f>
        <v/>
      </c>
    </row>
    <row r="8" ht="27.75" customHeight="1">
      <c r="A8" s="68">
        <f>RANK(D8,$D$4:$D$9,0)</f>
        <v/>
      </c>
      <c r="B8" s="69" t="inlineStr">
        <is>
          <t>Kim</t>
        </is>
      </c>
      <c r="C8" s="70">
        <f>Kim!D71</f>
        <v/>
      </c>
      <c r="D8" s="71">
        <f>Kim!G73</f>
        <v/>
      </c>
      <c r="E8" s="70">
        <f>Kim!H73</f>
        <v/>
      </c>
      <c r="F8" s="72">
        <f>D8+E8</f>
        <v/>
      </c>
    </row>
    <row r="9" ht="27.75" customHeight="1">
      <c r="A9" s="68">
        <f>RANK(D9,$D$4:$D$9,0)</f>
        <v/>
      </c>
      <c r="B9" s="69" t="inlineStr">
        <is>
          <t>Tucker</t>
        </is>
      </c>
      <c r="C9" s="70">
        <f>Tucker!D71</f>
        <v/>
      </c>
      <c r="D9" s="71">
        <f>Tucker!G73</f>
        <v/>
      </c>
      <c r="E9" s="70">
        <f>Tucker!H73</f>
        <v/>
      </c>
      <c r="F9" s="72">
        <f>D9+E9</f>
        <v/>
      </c>
    </row>
    <row r="11" ht="18" customHeight="1">
      <c r="A11" s="1" t="inlineStr">
        <is>
          <t>SCORING GUIDE</t>
        </is>
      </c>
    </row>
    <row r="12" ht="18" customHeight="1">
      <c r="A12" s="73" t="inlineStr">
        <is>
          <t>Round of 64</t>
        </is>
      </c>
      <c r="B12" s="74" t="inlineStr">
        <is>
          <t>Round of 32</t>
        </is>
      </c>
      <c r="C12" s="75" t="inlineStr">
        <is>
          <t>Sweet 16</t>
        </is>
      </c>
      <c r="D12" s="76" t="inlineStr">
        <is>
          <t>Elite 8</t>
        </is>
      </c>
      <c r="E12" s="77" t="inlineStr">
        <is>
          <t>Final Four</t>
        </is>
      </c>
      <c r="F12" s="78" t="inlineStr">
        <is>
          <t>Championship</t>
        </is>
      </c>
    </row>
    <row r="13" ht="19.5" customHeight="1">
      <c r="A13" s="79" t="inlineStr">
        <is>
          <t>1 pt</t>
        </is>
      </c>
      <c r="B13" s="79" t="inlineStr">
        <is>
          <t>2 pts</t>
        </is>
      </c>
      <c r="C13" s="79" t="inlineStr">
        <is>
          <t>4 pts</t>
        </is>
      </c>
      <c r="D13" s="79" t="inlineStr">
        <is>
          <t>8 pts</t>
        </is>
      </c>
      <c r="E13" s="79" t="inlineStr">
        <is>
          <t>16 pts</t>
        </is>
      </c>
      <c r="F13" s="79" t="inlineStr">
        <is>
          <t>32 pts</t>
        </is>
      </c>
    </row>
  </sheetData>
  <mergeCells count="3">
    <mergeCell ref="A2:F2"/>
    <mergeCell ref="A11:F11"/>
    <mergeCell ref="A1:F1"/>
  </mergeCells>
  <conditionalFormatting sqref="A4:F9">
    <cfRule type="expression" priority="2" dxfId="2">
      <formula>$A4=1</formula>
    </cfRule>
    <cfRule type="expression" priority="3" dxfId="1">
      <formula>$A4=2</formula>
    </cfRule>
    <cfRule type="expression" priority="4" dxfId="0">
      <formula>$A4=3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2026-03-19T19:09:58Z</dcterms:created>
  <dcterms:modified xsi:type="dcterms:W3CDTF">2026-03-20T01:33:53Z</dcterms:modified>
  <cp:lastModifiedBy>Raman Lal</cp:lastModifiedBy>
  <cp:revision>0</cp:revision>
</cp:coreProperties>
</file>