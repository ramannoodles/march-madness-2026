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⚙️ Auto-Update Setup" sheetId="1" state="visible" r:id="rId3"/>
    <sheet name="🏆 Leaderboard" sheetId="2" state="visible" r:id="rId4"/>
    <sheet name="Master_Results" sheetId="3" state="visible" r:id="rId5"/>
    <sheet name="Raman" sheetId="4" state="visible" r:id="rId6"/>
    <sheet name="Porter" sheetId="5" state="visible" r:id="rId7"/>
    <sheet name="Chuck" sheetId="6" state="visible" r:id="rId8"/>
    <sheet name="Shelly" sheetId="7" state="visible" r:id="rId9"/>
    <sheet name="Kim" sheetId="8" state="visible" r:id="rId10"/>
    <sheet name="Tucker" sheetId="9" state="visible" r:id="rId11"/>
    <sheet name="📊 Comparison" sheetId="10" state="visible" r:id="rId12"/>
    <sheet name="ESPN_Dat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<sst xmlns="http://schemas.openxmlformats.org/spreadsheetml/2006/main" count="2084" uniqueCount="314">
  <si>
    <t xml:space="preserve">⚙️  AUTO-UPDATE SETUP — Two Ways to Pull Live ESPN Results</t>
  </si>
  <si>
    <t xml:space="preserve">  METHOD 1 — Python Script  (Runs outside Excel — most reliable)</t>
  </si>
  <si>
    <t xml:space="preserve">1</t>
  </si>
  <si>
    <t xml:space="preserve">Install Python 3 from python.org if not already installed</t>
  </si>
  <si>
    <t xml:space="preserve">2</t>
  </si>
  <si>
    <t xml:space="preserve">Open Terminal (Mac) or Command Prompt (Windows)</t>
  </si>
  <si>
    <t xml:space="preserve">3</t>
  </si>
  <si>
    <t xml:space="preserve">Run:   pip install requests openpyxl</t>
  </si>
  <si>
    <t xml:space="preserve">4</t>
  </si>
  <si>
    <t xml:space="preserve">Put update_bracket.py in the same folder as this Excel file</t>
  </si>
  <si>
    <t xml:space="preserve">5</t>
  </si>
  <si>
    <t xml:space="preserve">Run:   python update_bracket.py</t>
  </si>
  <si>
    <t xml:space="preserve">↺</t>
  </si>
  <si>
    <t xml:space="preserve">Re-run anytime during tournament to sync the latest results</t>
  </si>
  <si>
    <t xml:space="preserve">  ✅  Fastest &amp; most reliable. Results write directly into Master_Results. No Excel setup needed.</t>
  </si>
  <si>
    <t xml:space="preserve">  METHOD 2 — Power Query  (Refresh inside Excel with one click)</t>
  </si>
  <si>
    <t xml:space="preserve">In Excel: click the Data tab → Get Data → Launch Power Query Editor</t>
  </si>
  <si>
    <t xml:space="preserve">Click "New Source" → "Blank Query"</t>
  </si>
  <si>
    <t xml:space="preserve">In the ribbon, click "Advanced Editor"</t>
  </si>
  <si>
    <t xml:space="preserve">Delete all text, then paste the M code starting at row 21 below</t>
  </si>
  <si>
    <t xml:space="preserve">Click Done. Name the query:   ESPN_Tournament_Results</t>
  </si>
  <si>
    <t xml:space="preserve">6</t>
  </si>
  <si>
    <t xml:space="preserve">Click "Close &amp; Load To..." → Existing sheet → select ESPN_Data!$A$3</t>
  </si>
  <si>
    <t xml:space="preserve">After setup: Data → Refresh All (or Ctrl+Alt+F5) to pull latest scores anytime</t>
  </si>
  <si>
    <t xml:space="preserve">  ✅  Once configured, one-click refresh. Requires Excel desktop (Windows or Mac). Not Excel Online.</t>
  </si>
  <si>
    <t xml:space="preserve">  POWER QUERY M CODE — Select all lines below and copy into Advanced Editor</t>
  </si>
  <si>
    <t xml:space="preserve">let</t>
  </si>
  <si>
    <t xml:space="preserve">    StartDate   = #date(2026, 3, 17),</t>
  </si>
  <si>
    <t xml:space="preserve">    EndDate     = #date(2026, 4, 7),</t>
  </si>
  <si>
    <t xml:space="preserve">    DateList    = List.Dates(StartDate, Duration.Days(EndDate - StartDate) + 1, #duration(1,0,0,0)),</t>
  </si>
  <si>
    <t xml:space="preserve">    DateStrings = List.Transform(DateList, each Date.ToText(_, "yyyyMMdd")),</t>
  </si>
  <si>
    <t xml:space="preserve">    FetchDate = (dateStr as text) as list =&gt;</t>
  </si>
  <si>
    <t xml:space="preserve">        let</t>
  </si>
  <si>
    <t xml:space="preserve">            Url  = "https://site.api.espn.com/apis/site/v2/sports/basketball/mens-college-basketball/scoreboard?groups=100&amp;limit=100&amp;dates=" &amp; dateStr,</t>
  </si>
  <si>
    <t xml:space="preserve">            Src  = try Json.Document(Web.Contents(Url)) otherwise null,</t>
  </si>
  <si>
    <t xml:space="preserve">            Evts = if Src = null then {} else try Src[events] otherwise {}</t>
  </si>
  <si>
    <t xml:space="preserve">        in Evts,</t>
  </si>
  <si>
    <t xml:space="preserve">    AllEvents = List.Combine(List.Transform(DateStrings, FetchDate)),</t>
  </si>
  <si>
    <t xml:space="preserve">    ParseGame = (ev as record) as record =&gt;</t>
  </si>
  <si>
    <t xml:space="preserve">            Comp   = ev[competitions]{0},</t>
  </si>
  <si>
    <t xml:space="preserve">            Done   = Comp[status][type][completed],</t>
  </si>
  <si>
    <t xml:space="preserve">            Teams  = Comp[competitors],</t>
  </si>
  <si>
    <t xml:space="preserve">            T1     = Teams{0}[team][shortDisplayName],</t>
  </si>
  <si>
    <t xml:space="preserve">            T2     = Teams{1}[team][shortDisplayName],</t>
  </si>
  <si>
    <t xml:space="preserve">            W1     = try Teams{0}[winner] otherwise false,</t>
  </si>
  <si>
    <t xml:space="preserve">            W2     = try Teams{1}[winner] otherwise false,</t>
  </si>
  <si>
    <t xml:space="preserve">            Winner = if W1 then T1 else if W2 then T2 else null</t>
  </si>
  <si>
    <t xml:space="preserve">        in [ Completed = Done, Team1 = T1, Team2 = T2, Winner = Winner ],</t>
  </si>
  <si>
    <t xml:space="preserve">    Parsed    = List.Transform(AllEvents, ParseGame),</t>
  </si>
  <si>
    <t xml:space="preserve">    Done      = List.Select(Parsed, each _[Completed] = true and _[Winner] &lt;&gt; null),</t>
  </si>
  <si>
    <t xml:space="preserve">    NameMap = #table({"ESPN","Bracket"},{</t>
  </si>
  <si>
    <t xml:space="preserve">        {"TCU","TCU"},{"Texas Christian","TCU"},{"Ohio State","Ohio State"},</t>
  </si>
  <si>
    <t xml:space="preserve">        {"Ohio St","Ohio State"},{"St. John's","St. John's"},</t>
  </si>
  <si>
    <t xml:space="preserve">        {"Northern Iowa","Northern Iowa"},{"Kansas","Kansas"},</t>
  </si>
  <si>
    <t xml:space="preserve">        {"California Baptist","Cal Baptist"},{"Cal Baptist","Cal Baptist"},</t>
  </si>
  <si>
    <t xml:space="preserve">        {"Louisville","Louisville"},{"South Florida","South Florida"},{"USF","South Florida"},</t>
  </si>
  <si>
    <t xml:space="preserve">        {"Michigan State","Michigan St"},{"Michigan St","Michigan St"},</t>
  </si>
  <si>
    <t xml:space="preserve">        {"North Dakota State","ND State"},{"NDSU","ND State"},</t>
  </si>
  <si>
    <t xml:space="preserve">        {"UCLA","UCLA"},{"UCF","UCF"},{"Central Florida","UCF"},</t>
  </si>
  <si>
    <t xml:space="preserve">        {"UConn","UConn"},{"Connecticut","UConn"},{"Furman","Furman"},</t>
  </si>
  <si>
    <t xml:space="preserve">        {"Florida","Florida"},{"Prairie View A&amp;M","Prairie View A&amp;M"},</t>
  </si>
  <si>
    <t xml:space="preserve">        {"Clemson","Clemson"},{"Iowa","Iowa"},{"Vanderbilt","Vandy"},</t>
  </si>
  <si>
    <t xml:space="preserve">        {"McNeese","McNeese"},{"McNeese State","McNeese"},</t>
  </si>
  <si>
    <t xml:space="preserve">        {"Nebraska","Nebraska"},{"Troy","Troy"},</t>
  </si>
  <si>
    <t xml:space="preserve">        {"North Carolina","North Carolina"},{"UNC","North Carolina"},</t>
  </si>
  <si>
    <t xml:space="preserve">        {"VCU","VCU"},{"Illinois","Illinois"},{"Penn","Penn"},</t>
  </si>
  <si>
    <t xml:space="preserve">        {"Pennsylvania","Penn"},{"St. Mary's","St. Mary's"},</t>
  </si>
  <si>
    <t xml:space="preserve">        {"Texas A&amp;M","Texas A&amp;M"},{"Houston","Houston"},{"Idaho","Idaho"},</t>
  </si>
  <si>
    <t xml:space="preserve">        {"Arizona","Arizona"},{"Long Island","Long Island"},{"LIU","Long Island"},</t>
  </si>
  <si>
    <t xml:space="preserve">        {"Villanova","Villanova"},{"Utah State","Utah St"},{"Utah St","Utah St"},</t>
  </si>
  <si>
    <t xml:space="preserve">        {"Wisconsin","Wisconsin"},{"High Point","High Point"},{"Arkansas","Arkansas"},</t>
  </si>
  <si>
    <t xml:space="preserve">        {"Hawaii","Hawai'i"},{"Hawai'i","Hawai'i"},{"BYU","BYU"},</t>
  </si>
  <si>
    <t xml:space="preserve">        {"Brigham Young","BYU"},{"Texas","Texas"},{"Gonzaga","Gonzaga"},</t>
  </si>
  <si>
    <t xml:space="preserve">        {"Kennesaw State","Kennesaw St"},{"Kennesaw St","Kennesaw St"},</t>
  </si>
  <si>
    <t xml:space="preserve">        {"Miami","Miami"},{"Miami (FL)","Miami"},{"Missouri","Missouri"},</t>
  </si>
  <si>
    <t xml:space="preserve">        {"Purdue","Purdue"},{"Queens","Queens"},{"Michigan","Michigan"},</t>
  </si>
  <si>
    <t xml:space="preserve">        {"Howard","Howard"},{"Georgia","Georgia"},{"Saint Louis","St. Louis"},</t>
  </si>
  <si>
    <t xml:space="preserve">        {"St. Louis","St. Louis"},{"Texas Tech","Texas Tech"},{"Akron","Akron"},</t>
  </si>
  <si>
    <t xml:space="preserve">        {"Alabama","Alabama"},{"Hofstra","Hofstra"},{"Tennessee","Tennessee"},</t>
  </si>
  <si>
    <t xml:space="preserve">        {"Miami (OH)","Miami (OH)"},{"Miami Ohio","Miami (OH)"},</t>
  </si>
  <si>
    <t xml:space="preserve">        {"Virginia","Virginia"},{"Wright State","Wright St"},{"Wright St","Wright St"},</t>
  </si>
  <si>
    <t xml:space="preserve">        {"Kentucky","Kentucky"},{"Santa Clara","Santa Clara"},</t>
  </si>
  <si>
    <t xml:space="preserve">        {"Iowa State","Iowa State"},{"Iowa St","Iowa State"},</t>
  </si>
  <si>
    <t xml:space="preserve">        {"Tennessee State","Tenn St"},{"Tennessee St","Tenn St"},</t>
  </si>
  <si>
    <t xml:space="preserve">        {"Duke","Duke"},{"Siena","Siena"}</t>
  </si>
  <si>
    <t xml:space="preserve">    }),</t>
  </si>
  <si>
    <t xml:space="preserve">    Norm   = (n as text) as text =&gt;</t>
  </si>
  <si>
    <t xml:space="preserve">        let m = Table.SelectRows(NameMap, each [ESPN] = n)</t>
  </si>
  <si>
    <t xml:space="preserve">        in if Table.RowCount(m) &gt; 0 then m{0}[Bracket] else n,</t>
  </si>
  <si>
    <t xml:space="preserve">    Result = Table.FromRecords(</t>
  </si>
  <si>
    <t xml:space="preserve">        List.Transform(Done, each [Team1 = Norm(_[Team1]), Team2 = Norm(_[Team2]), Winner = Norm(_[Winner])]),</t>
  </si>
  <si>
    <t xml:space="preserve">        {"Team1","Team2","Winner"}</t>
  </si>
  <si>
    <t xml:space="preserve">    )</t>
  </si>
  <si>
    <t xml:space="preserve">in Result</t>
  </si>
  <si>
    <t xml:space="preserve">🏆  2026 OFFICE MARCH MADNESS — LEADERBOARD</t>
  </si>
  <si>
    <t xml:space="preserve">Scores update automatically as results are entered in Master_Results</t>
  </si>
  <si>
    <t xml:space="preserve">Rank</t>
  </si>
  <si>
    <t xml:space="preserve">Participant</t>
  </si>
  <si>
    <t xml:space="preserve">Champion Pick</t>
  </si>
  <si>
    <t xml:space="preserve">Current Score</t>
  </si>
  <si>
    <t xml:space="preserve">Pts Remaining</t>
  </si>
  <si>
    <t xml:space="preserve">Max Possible</t>
  </si>
  <si>
    <t xml:space="preserve">Raman</t>
  </si>
  <si>
    <t xml:space="preserve">Porter</t>
  </si>
  <si>
    <t xml:space="preserve">Chuck</t>
  </si>
  <si>
    <t xml:space="preserve">Shelly</t>
  </si>
  <si>
    <t xml:space="preserve">Kim</t>
  </si>
  <si>
    <t xml:space="preserve">Tucker</t>
  </si>
  <si>
    <t xml:space="preserve">SCORING GUIDE</t>
  </si>
  <si>
    <t xml:space="preserve">Round of 64</t>
  </si>
  <si>
    <t xml:space="preserve">Round of 32</t>
  </si>
  <si>
    <t xml:space="preserve">Sweet 16</t>
  </si>
  <si>
    <t xml:space="preserve">Elite 8</t>
  </si>
  <si>
    <t xml:space="preserve">Final Four</t>
  </si>
  <si>
    <t xml:space="preserve">Championship</t>
  </si>
  <si>
    <t xml:space="preserve">1 pt</t>
  </si>
  <si>
    <t xml:space="preserve">2 pts</t>
  </si>
  <si>
    <t xml:space="preserve">4 pts</t>
  </si>
  <si>
    <t xml:space="preserve">8 pts</t>
  </si>
  <si>
    <t xml:space="preserve">16 pts</t>
  </si>
  <si>
    <t xml:space="preserve">32 pts</t>
  </si>
  <si>
    <t xml:space="preserve">🏀  2026 NCAA TOURNAMENT — OFFICIAL RESULTS</t>
  </si>
  <si>
    <t xml:space="preserve">Round</t>
  </si>
  <si>
    <t xml:space="preserve">Game ID</t>
  </si>
  <si>
    <t xml:space="preserve">Matchup</t>
  </si>
  <si>
    <t xml:space="preserve">Actual Winner</t>
  </si>
  <si>
    <t xml:space="preserve">  ▸  ROUND OF 64</t>
  </si>
  <si>
    <t xml:space="preserve">R64_G1</t>
  </si>
  <si>
    <t xml:space="preserve">(1) Duke vs (16) Siena</t>
  </si>
  <si>
    <t xml:space="preserve">R64_G2</t>
  </si>
  <si>
    <t xml:space="preserve">(8) Ohio St vs (9) TCU</t>
  </si>
  <si>
    <t xml:space="preserve">TCU</t>
  </si>
  <si>
    <t xml:space="preserve">R64_G3</t>
  </si>
  <si>
    <t xml:space="preserve">(5) St. John's vs (12) Northern Iowa</t>
  </si>
  <si>
    <t xml:space="preserve">R64_G4</t>
  </si>
  <si>
    <t xml:space="preserve">(4) Kansas vs (13) Cal Baptist</t>
  </si>
  <si>
    <t xml:space="preserve">R64_G5</t>
  </si>
  <si>
    <t xml:space="preserve">(6) Louisville vs (11) South Florida</t>
  </si>
  <si>
    <t xml:space="preserve">R64_G6</t>
  </si>
  <si>
    <t xml:space="preserve">(3) Michigan St vs (14) ND State</t>
  </si>
  <si>
    <t xml:space="preserve">R64_G7</t>
  </si>
  <si>
    <t xml:space="preserve">(7) UCLA vs (10) UCF</t>
  </si>
  <si>
    <t xml:space="preserve">R64_G8</t>
  </si>
  <si>
    <t xml:space="preserve">(2) UConn vs (15) Furman</t>
  </si>
  <si>
    <t xml:space="preserve">R64_G9</t>
  </si>
  <si>
    <t xml:space="preserve">(1) Florida vs (16) Prairie View A&amp;M</t>
  </si>
  <si>
    <t xml:space="preserve">R64_G10</t>
  </si>
  <si>
    <t xml:space="preserve">(8) Clemson vs (9) Iowa</t>
  </si>
  <si>
    <t xml:space="preserve">R64_G11</t>
  </si>
  <si>
    <t xml:space="preserve">(5) Vandy vs (12) McNeese</t>
  </si>
  <si>
    <t xml:space="preserve">R64_G12</t>
  </si>
  <si>
    <t xml:space="preserve">(4) Nebraska vs (13) Troy</t>
  </si>
  <si>
    <t xml:space="preserve">Nebraska</t>
  </si>
  <si>
    <t xml:space="preserve">R64_G13</t>
  </si>
  <si>
    <t xml:space="preserve">(6) North Carolina vs (11) VCU</t>
  </si>
  <si>
    <t xml:space="preserve">R64_G14</t>
  </si>
  <si>
    <t xml:space="preserve">(3) Illinois vs (14) Penn</t>
  </si>
  <si>
    <t xml:space="preserve">R64_G15</t>
  </si>
  <si>
    <t xml:space="preserve">(7) St. Mary's vs (10) Texas A&amp;M</t>
  </si>
  <si>
    <t xml:space="preserve">R64_G16</t>
  </si>
  <si>
    <t xml:space="preserve">(2) Houston vs (15) Idaho</t>
  </si>
  <si>
    <t xml:space="preserve">R64_G17</t>
  </si>
  <si>
    <t xml:space="preserve">(1) Arizona vs (16) Long Island</t>
  </si>
  <si>
    <t xml:space="preserve">R64_G18</t>
  </si>
  <si>
    <t xml:space="preserve">(8) Villanova vs (9) Utah St</t>
  </si>
  <si>
    <t xml:space="preserve">R64_G19</t>
  </si>
  <si>
    <t xml:space="preserve">(5) Wisconsin vs (12) High Point</t>
  </si>
  <si>
    <t xml:space="preserve">R64_G20</t>
  </si>
  <si>
    <t xml:space="preserve">(4) Arkansas vs (13) Hawai'i</t>
  </si>
  <si>
    <t xml:space="preserve">R64_G21</t>
  </si>
  <si>
    <t xml:space="preserve">(6) BYU vs (11) Texas</t>
  </si>
  <si>
    <t xml:space="preserve">R64_G22</t>
  </si>
  <si>
    <t xml:space="preserve">(3) Gonzaga vs (14) Kennesaw St</t>
  </si>
  <si>
    <t xml:space="preserve">R64_G23</t>
  </si>
  <si>
    <t xml:space="preserve">(7) Miami (FL) vs (10) Missouri</t>
  </si>
  <si>
    <t xml:space="preserve">R64_G24</t>
  </si>
  <si>
    <t xml:space="preserve">(2) Purdue vs (15) Queens</t>
  </si>
  <si>
    <t xml:space="preserve">R64_G25</t>
  </si>
  <si>
    <t xml:space="preserve">(1) Michigan vs (16) Howard</t>
  </si>
  <si>
    <t xml:space="preserve">R64_G26</t>
  </si>
  <si>
    <t xml:space="preserve">(8) Georgia vs (9) St. Louis</t>
  </si>
  <si>
    <t xml:space="preserve">R64_G27</t>
  </si>
  <si>
    <t xml:space="preserve">(5) Texas Tech vs (12) Akron</t>
  </si>
  <si>
    <t xml:space="preserve">R64_G28</t>
  </si>
  <si>
    <t xml:space="preserve">(4) Alabama vs (13) Hofstra</t>
  </si>
  <si>
    <t xml:space="preserve">R64_G29</t>
  </si>
  <si>
    <t xml:space="preserve">(6) Tennessee vs (11) Miami (OH)</t>
  </si>
  <si>
    <t xml:space="preserve">R64_G30</t>
  </si>
  <si>
    <t xml:space="preserve">(3) Virginia vs (14) Wright St</t>
  </si>
  <si>
    <t xml:space="preserve">R64_G31</t>
  </si>
  <si>
    <t xml:space="preserve">(7) Kentucky vs (10) Santa Clara</t>
  </si>
  <si>
    <t xml:space="preserve">R64_G32</t>
  </si>
  <si>
    <t xml:space="preserve">(2) Iowa St vs (15) Tenn St</t>
  </si>
  <si>
    <t xml:space="preserve">  ▸  ROUND OF 32</t>
  </si>
  <si>
    <t xml:space="preserve">Rou_G1</t>
  </si>
  <si>
    <t xml:space="preserve">Winner Game 1 &amp; 2</t>
  </si>
  <si>
    <t xml:space="preserve">Rou_G2</t>
  </si>
  <si>
    <t xml:space="preserve">Winner Game 3 &amp; 4</t>
  </si>
  <si>
    <t xml:space="preserve">Rou_G3</t>
  </si>
  <si>
    <t xml:space="preserve">Winner Game 5 &amp; 6</t>
  </si>
  <si>
    <t xml:space="preserve">Rou_G4</t>
  </si>
  <si>
    <t xml:space="preserve">Winner Game 7 &amp; 8</t>
  </si>
  <si>
    <t xml:space="preserve">Rou_G5</t>
  </si>
  <si>
    <t xml:space="preserve">Winner Game 9 &amp; 10</t>
  </si>
  <si>
    <t xml:space="preserve">Rou_G6</t>
  </si>
  <si>
    <t xml:space="preserve">Winner Game 11 &amp; 12</t>
  </si>
  <si>
    <t xml:space="preserve">Rou_G7</t>
  </si>
  <si>
    <t xml:space="preserve">Winner Game 13 &amp; 14</t>
  </si>
  <si>
    <t xml:space="preserve">Rou_G8</t>
  </si>
  <si>
    <t xml:space="preserve">Winner Game 15 &amp; 16</t>
  </si>
  <si>
    <t xml:space="preserve">Rou_G9</t>
  </si>
  <si>
    <t xml:space="preserve">Winner Game 17 &amp; 18</t>
  </si>
  <si>
    <t xml:space="preserve">Rou_G10</t>
  </si>
  <si>
    <t xml:space="preserve">Winner Game 19 &amp; 20</t>
  </si>
  <si>
    <t xml:space="preserve">Rou_G11</t>
  </si>
  <si>
    <t xml:space="preserve">Winner Game 21 &amp; 22</t>
  </si>
  <si>
    <t xml:space="preserve">Rou_G12</t>
  </si>
  <si>
    <t xml:space="preserve">Winner Game 23 &amp; 24</t>
  </si>
  <si>
    <t xml:space="preserve">Rou_G13</t>
  </si>
  <si>
    <t xml:space="preserve">Winner Game 25 &amp; 26</t>
  </si>
  <si>
    <t xml:space="preserve">Rou_G14</t>
  </si>
  <si>
    <t xml:space="preserve">Winner Game 27 &amp; 28</t>
  </si>
  <si>
    <t xml:space="preserve">Rou_G15</t>
  </si>
  <si>
    <t xml:space="preserve">Winner Game 29 &amp; 30</t>
  </si>
  <si>
    <t xml:space="preserve">Rou_G16</t>
  </si>
  <si>
    <t xml:space="preserve">Winner Game 31 &amp; 32</t>
  </si>
  <si>
    <t xml:space="preserve">  ▸  SWEET 16</t>
  </si>
  <si>
    <t xml:space="preserve">Swe_G1</t>
  </si>
  <si>
    <t xml:space="preserve">Swe_G2</t>
  </si>
  <si>
    <t xml:space="preserve">Swe_G3</t>
  </si>
  <si>
    <t xml:space="preserve">Swe_G4</t>
  </si>
  <si>
    <t xml:space="preserve">Swe_G5</t>
  </si>
  <si>
    <t xml:space="preserve">Swe_G6</t>
  </si>
  <si>
    <t xml:space="preserve">Swe_G7</t>
  </si>
  <si>
    <t xml:space="preserve">Swe_G8</t>
  </si>
  <si>
    <t xml:space="preserve">  ▸  ELITE 8</t>
  </si>
  <si>
    <t xml:space="preserve">Eli_G1</t>
  </si>
  <si>
    <t xml:space="preserve">Eli_G2</t>
  </si>
  <si>
    <t xml:space="preserve">Eli_G3</t>
  </si>
  <si>
    <t xml:space="preserve">Eli_G4</t>
  </si>
  <si>
    <t xml:space="preserve">  ▸  FINAL 4</t>
  </si>
  <si>
    <t xml:space="preserve">Final 4</t>
  </si>
  <si>
    <t xml:space="preserve">Fin_G1</t>
  </si>
  <si>
    <t xml:space="preserve">Fin_G2</t>
  </si>
  <si>
    <t xml:space="preserve">  ▸  CHAMPIONSHIP</t>
  </si>
  <si>
    <t xml:space="preserve">Cha_G1</t>
  </si>
  <si>
    <t xml:space="preserve">🏀  RAMAN'S 2026 MARCH MADNESS BRACKET</t>
  </si>
  <si>
    <t xml:space="preserve">Pick</t>
  </si>
  <si>
    <t xml:space="preserve">Pts Value</t>
  </si>
  <si>
    <t xml:space="preserve">Result</t>
  </si>
  <si>
    <t xml:space="preserve">Pts Earned</t>
  </si>
  <si>
    <t xml:space="preserve">  ▸  ROUND OF 64  •  1 pt each</t>
  </si>
  <si>
    <t xml:space="preserve">Duke</t>
  </si>
  <si>
    <t xml:space="preserve">St. John</t>
  </si>
  <si>
    <t xml:space="preserve">Kansas</t>
  </si>
  <si>
    <t xml:space="preserve">Louisville</t>
  </si>
  <si>
    <t xml:space="preserve">Mich St</t>
  </si>
  <si>
    <t xml:space="preserve">UCLA</t>
  </si>
  <si>
    <t xml:space="preserve">UConn</t>
  </si>
  <si>
    <t xml:space="preserve">Florida</t>
  </si>
  <si>
    <t xml:space="preserve">Clemson</t>
  </si>
  <si>
    <t xml:space="preserve">Vandy</t>
  </si>
  <si>
    <t xml:space="preserve">North Carolina</t>
  </si>
  <si>
    <t xml:space="preserve">Illinois</t>
  </si>
  <si>
    <t xml:space="preserve">Texas A&amp;M</t>
  </si>
  <si>
    <t xml:space="preserve">Houston</t>
  </si>
  <si>
    <t xml:space="preserve">Arizona</t>
  </si>
  <si>
    <t xml:space="preserve">Villanova</t>
  </si>
  <si>
    <t xml:space="preserve">Wisconsin</t>
  </si>
  <si>
    <t xml:space="preserve">Arkansas</t>
  </si>
  <si>
    <t xml:space="preserve">BYU</t>
  </si>
  <si>
    <t xml:space="preserve">Gonzaga</t>
  </si>
  <si>
    <t xml:space="preserve">Miami</t>
  </si>
  <si>
    <t xml:space="preserve">Purdue</t>
  </si>
  <si>
    <t xml:space="preserve">Michigan</t>
  </si>
  <si>
    <t xml:space="preserve">St. Louis</t>
  </si>
  <si>
    <t xml:space="preserve">Texas Tech</t>
  </si>
  <si>
    <t xml:space="preserve">Alabama</t>
  </si>
  <si>
    <t xml:space="preserve">Tennessee</t>
  </si>
  <si>
    <t xml:space="preserve">Virginia</t>
  </si>
  <si>
    <t xml:space="preserve">Kentucky</t>
  </si>
  <si>
    <t xml:space="preserve">Iowa State</t>
  </si>
  <si>
    <t xml:space="preserve">  ▸  ROUND OF 32  •  2 pts each</t>
  </si>
  <si>
    <t xml:space="preserve">Iowa</t>
  </si>
  <si>
    <t xml:space="preserve">  ▸  SWEET SIXTEEN  •  4 pts each</t>
  </si>
  <si>
    <t xml:space="preserve">  ▸  ELITE EIGHT  •  8 pts each</t>
  </si>
  <si>
    <t xml:space="preserve">  ▸  FINAL FOUR  •  16 pts each</t>
  </si>
  <si>
    <t xml:space="preserve">  ▸  CHAMPIONSHIP  •  32 pts</t>
  </si>
  <si>
    <t xml:space="preserve">TOTAL SCORE</t>
  </si>
  <si>
    <t xml:space="preserve">PTS REMAINING:</t>
  </si>
  <si>
    <t xml:space="preserve">🏀  PORTER'S 2026 MARCH MADNESS BRACKET</t>
  </si>
  <si>
    <t xml:space="preserve">Ohio State</t>
  </si>
  <si>
    <t xml:space="preserve">Northern Iowa</t>
  </si>
  <si>
    <t xml:space="preserve">South Florida</t>
  </si>
  <si>
    <t xml:space="preserve">St. Mary's</t>
  </si>
  <si>
    <t xml:space="preserve">High Point</t>
  </si>
  <si>
    <t xml:space="preserve">Georgia</t>
  </si>
  <si>
    <t xml:space="preserve">Santa Clara</t>
  </si>
  <si>
    <t xml:space="preserve">🏀  CHUCK'S 2026 MARCH MADNESS BRACKET</t>
  </si>
  <si>
    <t xml:space="preserve">UCF</t>
  </si>
  <si>
    <t xml:space="preserve">🏀  SHELLY'S 2026 MARCH MADNESS BRACKET</t>
  </si>
  <si>
    <t xml:space="preserve">Michigan St</t>
  </si>
  <si>
    <t xml:space="preserve">VCU</t>
  </si>
  <si>
    <t xml:space="preserve">Akron</t>
  </si>
  <si>
    <t xml:space="preserve">🏀  KIM'S 2026 MARCH MADNESS BRACKET</t>
  </si>
  <si>
    <t xml:space="preserve">Missouri</t>
  </si>
  <si>
    <t xml:space="preserve">🏀  TUCKER'S 2026 MARCH MADNESS BRACKET</t>
  </si>
  <si>
    <t xml:space="preserve">St. John's</t>
  </si>
  <si>
    <t xml:space="preserve">St. Mary</t>
  </si>
  <si>
    <t xml:space="preserve">📊  HEAD-TO-HEAD PICK COMPARISON — All Participants</t>
  </si>
  <si>
    <t xml:space="preserve">📡  ESPN Live Data  —  Refresh via Data ▸ Refresh All</t>
  </si>
  <si>
    <t xml:space="preserve">Team 1</t>
  </si>
  <si>
    <t xml:space="preserve">Team 2</t>
  </si>
  <si>
    <t xml:space="preserve">Winner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</si>
</sst>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2D2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1A1A1A"/>
      <name val="Courier New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A3B6F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2"/>
      <color rgb="FF1A3B6F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9"/>
      <color rgb="FFFFD7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1E6B1E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1A3B6F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3B6F"/>
        <bgColor rgb="FF243F6A"/>
      </patternFill>
    </fill>
    <fill>
      <patternFill patternType="solid">
        <fgColor rgb="FFE8622A"/>
        <bgColor rgb="FFD35400"/>
      </patternFill>
    </fill>
    <fill>
      <patternFill patternType="solid">
        <fgColor rgb="FFF8F8F8"/>
        <bgColor rgb="FFF5F5F5"/>
      </patternFill>
    </fill>
    <fill>
      <patternFill patternType="solid">
        <fgColor rgb="FFFFFDE7"/>
        <bgColor rgb="FFFFFFF0"/>
      </patternFill>
    </fill>
    <fill>
      <patternFill patternType="solid">
        <fgColor rgb="FF1F5C2E"/>
        <bgColor rgb="FF1E6B1E"/>
      </patternFill>
    </fill>
    <fill>
      <patternFill patternType="solid">
        <fgColor rgb="FF7B1040"/>
        <bgColor rgb="FF9C0006"/>
      </patternFill>
    </fill>
    <fill>
      <patternFill patternType="solid">
        <fgColor rgb="FFF0F4FF"/>
        <bgColor rgb="FFEDF4FB"/>
      </patternFill>
    </fill>
    <fill>
      <patternFill patternType="solid">
        <fgColor rgb="FFF5F5F5"/>
        <bgColor rgb="FFF8F8F8"/>
      </patternFill>
    </fill>
    <fill>
      <patternFill patternType="solid">
        <fgColor rgb="FF7A5800"/>
        <bgColor rgb="FF8B4513"/>
      </patternFill>
    </fill>
    <fill>
      <patternFill patternType="solid">
        <fgColor rgb="FF4A0072"/>
        <bgColor rgb="FF7B1040"/>
      </patternFill>
    </fill>
    <fill>
      <patternFill patternType="solid">
        <fgColor rgb="FF9B7700"/>
        <bgColor rgb="FFB8860B"/>
      </patternFill>
    </fill>
    <fill>
      <patternFill patternType="solid">
        <fgColor rgb="FFEDF4FB"/>
        <bgColor rgb="FFF0F4FF"/>
      </patternFill>
    </fill>
    <fill>
      <patternFill patternType="solid">
        <fgColor rgb="FFC6EFCE"/>
        <bgColor rgb="FFE8F5E9"/>
      </patternFill>
    </fill>
    <fill>
      <patternFill patternType="solid">
        <fgColor rgb="FFE8F5E9"/>
        <bgColor rgb="FFEDF4FB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FFFFF0"/>
        <bgColor rgb="FFFFFDE7"/>
      </patternFill>
    </fill>
    <fill>
      <patternFill patternType="solid">
        <fgColor rgb="FF243F6A"/>
        <bgColor rgb="FF1A3B6F"/>
      </patternFill>
    </fill>
    <fill>
      <patternFill patternType="solid">
        <fgColor rgb="FF2E4F8C"/>
        <bgColor rgb="FF243F6A"/>
      </patternFill>
    </fill>
    <fill>
      <patternFill patternType="solid">
        <fgColor rgb="FF2C3E50"/>
        <bgColor rgb="FF243F6A"/>
      </patternFill>
    </fill>
    <fill>
      <patternFill patternType="solid">
        <fgColor rgb="FFC0392B"/>
        <bgColor rgb="FFD35400"/>
      </patternFill>
    </fill>
    <fill>
      <patternFill patternType="solid">
        <fgColor rgb="FF2471A3"/>
        <bgColor rgb="FF117A65"/>
      </patternFill>
    </fill>
    <fill>
      <patternFill patternType="solid">
        <fgColor rgb="FF1E8449"/>
        <bgColor rgb="FF117A65"/>
      </patternFill>
    </fill>
    <fill>
      <patternFill patternType="solid">
        <fgColor rgb="FF7D3C98"/>
        <bgColor rgb="FF5A5A5A"/>
      </patternFill>
    </fill>
    <fill>
      <patternFill patternType="solid">
        <fgColor rgb="FFD35400"/>
        <bgColor rgb="FFE8622A"/>
      </patternFill>
    </fill>
    <fill>
      <patternFill patternType="solid">
        <fgColor rgb="FF117A65"/>
        <bgColor rgb="FF1E844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B8860B"/>
        <sz val="11"/>
      </font>
      <fill>
        <patternFill>
          <bgColor rgb="FFFFF8DC"/>
        </patternFill>
      </fill>
    </dxf>
    <dxf>
      <font>
        <name val="Arial"/>
        <charset val="1"/>
        <family val="0"/>
        <b val="1"/>
        <color rgb="FF5A5A5A"/>
        <sz val="11"/>
      </font>
      <fill>
        <patternFill>
          <bgColor rgb="FFF5F5F5"/>
        </patternFill>
      </fill>
    </dxf>
    <dxf>
      <font>
        <name val="Arial"/>
        <charset val="1"/>
        <family val="0"/>
        <b val="1"/>
        <color rgb="FF8B4513"/>
        <sz val="11"/>
      </font>
      <fill>
        <patternFill>
          <bgColor rgb="FFFDF0E6"/>
        </patternFill>
      </fill>
    </dxf>
    <dxf>
      <font>
        <name val="Arial"/>
        <charset val="1"/>
        <family val="0"/>
        <b val="1"/>
        <color rgb="FF1E6B1E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F0"/>
      <rgbColor rgb="FFFF00FF"/>
      <rgbColor rgb="FF00FFFF"/>
      <rgbColor rgb="FF9C0006"/>
      <rgbColor rgb="FF1E6B1E"/>
      <rgbColor rgb="FF000080"/>
      <rgbColor rgb="FF9B7700"/>
      <rgbColor rgb="FF7B1040"/>
      <rgbColor rgb="FF117A65"/>
      <rgbColor rgb="FFBBBBBB"/>
      <rgbColor rgb="FF888888"/>
      <rgbColor rgb="FFF8F8F8"/>
      <rgbColor rgb="FF7D3C98"/>
      <rgbColor rgb="FFFFF8DC"/>
      <rgbColor rgb="FFE8F5E9"/>
      <rgbColor rgb="FF4A0072"/>
      <rgbColor rgb="FFD35400"/>
      <rgbColor rgb="FF2471A3"/>
      <rgbColor rgb="FFF3E5F5"/>
      <rgbColor rgb="FF000080"/>
      <rgbColor rgb="FFFF00FF"/>
      <rgbColor rgb="FFF5F5F5"/>
      <rgbColor rgb="FF00FFFF"/>
      <rgbColor rgb="FF555555"/>
      <rgbColor rgb="FF7A5800"/>
      <rgbColor rgb="FF1F5C2E"/>
      <rgbColor rgb="FF0000FF"/>
      <rgbColor rgb="FF00CCFF"/>
      <rgbColor rgb="FFEDF4FB"/>
      <rgbColor rgb="FFC6EFCE"/>
      <rgbColor rgb="FFFFFDE7"/>
      <rgbColor rgb="FFF0F4FF"/>
      <rgbColor rgb="FFFCE4EC"/>
      <rgbColor rgb="FFFDF0E6"/>
      <rgbColor rgb="FFFFC7CE"/>
      <rgbColor rgb="FF2E4F8C"/>
      <rgbColor rgb="FF33CCCC"/>
      <rgbColor rgb="FF99CC00"/>
      <rgbColor rgb="FFFFD700"/>
      <rgbColor rgb="FFB8860B"/>
      <rgbColor rgb="FFE8622A"/>
      <rgbColor rgb="FF666666"/>
      <rgbColor rgb="FF5A5A5A"/>
      <rgbColor rgb="FF1A3B6F"/>
      <rgbColor rgb="FF1E8449"/>
      <rgbColor rgb="FF2C3E50"/>
      <rgbColor rgb="FF1A1A1A"/>
      <rgbColor rgb="FF8B4513"/>
      <rgbColor rgb="FFC0392B"/>
      <rgbColor rgb="FF243F6A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4" min="3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6" hidden="false" customHeight="true" outlineLevel="0" collapsed="false"/>
    <row r="3" customFormat="false" ht="27.75" hidden="false" customHeight="true" outlineLevel="0" collapsed="false">
      <c r="A3" s="2" t="s">
        <v>1</v>
      </c>
      <c r="B3" s="2"/>
      <c r="C3" s="2"/>
      <c r="D3" s="2"/>
    </row>
    <row r="4" customFormat="false" ht="27.7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27.75" hidden="false" customHeight="true" outlineLevel="0" collapsed="false">
      <c r="A5" s="3" t="s">
        <v>4</v>
      </c>
      <c r="B5" s="4" t="s">
        <v>5</v>
      </c>
      <c r="C5" s="4"/>
      <c r="D5" s="4"/>
    </row>
    <row r="6" customFormat="false" ht="27.75" hidden="false" customHeight="true" outlineLevel="0" collapsed="false">
      <c r="A6" s="3" t="s">
        <v>6</v>
      </c>
      <c r="B6" s="4" t="s">
        <v>7</v>
      </c>
      <c r="C6" s="4"/>
      <c r="D6" s="4"/>
    </row>
    <row r="7" customFormat="false" ht="27.75" hidden="false" customHeight="true" outlineLevel="0" collapsed="false">
      <c r="A7" s="3" t="s">
        <v>8</v>
      </c>
      <c r="B7" s="4" t="s">
        <v>9</v>
      </c>
      <c r="C7" s="4"/>
      <c r="D7" s="4"/>
    </row>
    <row r="8" customFormat="false" ht="27.75" hidden="false" customHeight="true" outlineLevel="0" collapsed="false">
      <c r="A8" s="3" t="s">
        <v>10</v>
      </c>
      <c r="B8" s="4" t="s">
        <v>11</v>
      </c>
      <c r="C8" s="4"/>
      <c r="D8" s="4"/>
    </row>
    <row r="9" customFormat="false" ht="27.75" hidden="false" customHeight="true" outlineLevel="0" collapsed="false">
      <c r="A9" s="3" t="s">
        <v>12</v>
      </c>
      <c r="B9" s="4" t="s">
        <v>13</v>
      </c>
      <c r="C9" s="4"/>
      <c r="D9" s="4"/>
    </row>
    <row r="10" customFormat="false" ht="19.5" hidden="false" customHeight="true" outlineLevel="0" collapsed="false">
      <c r="A10" s="5" t="s">
        <v>14</v>
      </c>
      <c r="B10" s="5"/>
      <c r="C10" s="5"/>
      <c r="D10" s="5"/>
    </row>
    <row r="11" customFormat="false" ht="9.75" hidden="false" customHeight="true" outlineLevel="0" collapsed="false"/>
    <row r="12" customFormat="false" ht="27.75" hidden="false" customHeight="true" outlineLevel="0" collapsed="false">
      <c r="A12" s="6" t="s">
        <v>15</v>
      </c>
      <c r="B12" s="6"/>
      <c r="C12" s="6"/>
      <c r="D12" s="6"/>
    </row>
    <row r="13" customFormat="false" ht="27.75" hidden="false" customHeight="true" outlineLevel="0" collapsed="false">
      <c r="A13" s="3" t="s">
        <v>2</v>
      </c>
      <c r="B13" s="4" t="s">
        <v>16</v>
      </c>
      <c r="C13" s="4"/>
      <c r="D13" s="4"/>
    </row>
    <row r="14" customFormat="false" ht="27.75" hidden="false" customHeight="true" outlineLevel="0" collapsed="false">
      <c r="A14" s="3" t="s">
        <v>4</v>
      </c>
      <c r="B14" s="4" t="s">
        <v>17</v>
      </c>
      <c r="C14" s="4"/>
      <c r="D14" s="4"/>
    </row>
    <row r="15" customFormat="false" ht="27.75" hidden="false" customHeight="true" outlineLevel="0" collapsed="false">
      <c r="A15" s="3" t="s">
        <v>6</v>
      </c>
      <c r="B15" s="4" t="s">
        <v>18</v>
      </c>
      <c r="C15" s="4"/>
      <c r="D15" s="4"/>
    </row>
    <row r="16" customFormat="false" ht="27.75" hidden="false" customHeight="true" outlineLevel="0" collapsed="false">
      <c r="A16" s="3" t="s">
        <v>8</v>
      </c>
      <c r="B16" s="4" t="s">
        <v>19</v>
      </c>
      <c r="C16" s="4"/>
      <c r="D16" s="4"/>
    </row>
    <row r="17" customFormat="false" ht="27.75" hidden="false" customHeight="true" outlineLevel="0" collapsed="false">
      <c r="A17" s="3" t="s">
        <v>10</v>
      </c>
      <c r="B17" s="4" t="s">
        <v>20</v>
      </c>
      <c r="C17" s="4"/>
      <c r="D17" s="4"/>
    </row>
    <row r="18" customFormat="false" ht="27.75" hidden="false" customHeight="true" outlineLevel="0" collapsed="false">
      <c r="A18" s="3" t="s">
        <v>21</v>
      </c>
      <c r="B18" s="4" t="s">
        <v>22</v>
      </c>
      <c r="C18" s="4"/>
      <c r="D18" s="4"/>
    </row>
    <row r="19" customFormat="false" ht="27.75" hidden="false" customHeight="true" outlineLevel="0" collapsed="false">
      <c r="A19" s="3" t="s">
        <v>12</v>
      </c>
      <c r="B19" s="4" t="s">
        <v>23</v>
      </c>
      <c r="C19" s="4"/>
      <c r="D19" s="4"/>
    </row>
    <row r="20" customFormat="false" ht="19.5" hidden="false" customHeight="true" outlineLevel="0" collapsed="false">
      <c r="A20" s="5" t="s">
        <v>24</v>
      </c>
      <c r="B20" s="5"/>
      <c r="C20" s="5"/>
      <c r="D20" s="5"/>
    </row>
    <row r="21" customFormat="false" ht="9.75" hidden="false" customHeight="true" outlineLevel="0" collapsed="false"/>
    <row r="22" customFormat="false" ht="27.75" hidden="false" customHeight="true" outlineLevel="0" collapsed="false">
      <c r="A22" s="7" t="s">
        <v>25</v>
      </c>
      <c r="B22" s="7"/>
      <c r="C22" s="7"/>
      <c r="D22" s="7"/>
    </row>
    <row r="23" customFormat="false" ht="15" hidden="false" customHeight="true" outlineLevel="0" collapsed="false">
      <c r="A23" s="8" t="s">
        <v>26</v>
      </c>
      <c r="B23" s="8"/>
      <c r="C23" s="8"/>
      <c r="D23" s="8"/>
    </row>
    <row r="24" customFormat="false" ht="15" hidden="false" customHeight="true" outlineLevel="0" collapsed="false">
      <c r="A24" s="8" t="s">
        <v>27</v>
      </c>
      <c r="B24" s="8"/>
      <c r="C24" s="8"/>
      <c r="D24" s="8"/>
    </row>
    <row r="25" customFormat="false" ht="15" hidden="false" customHeight="true" outlineLevel="0" collapsed="false">
      <c r="A25" s="8" t="s">
        <v>28</v>
      </c>
      <c r="B25" s="8"/>
      <c r="C25" s="8"/>
      <c r="D25" s="8"/>
    </row>
    <row r="26" customFormat="false" ht="15" hidden="false" customHeight="true" outlineLevel="0" collapsed="false">
      <c r="A26" s="8" t="s">
        <v>29</v>
      </c>
      <c r="B26" s="8"/>
      <c r="C26" s="8"/>
      <c r="D26" s="8"/>
    </row>
    <row r="27" customFormat="false" ht="15" hidden="false" customHeight="true" outlineLevel="0" collapsed="false">
      <c r="A27" s="8" t="s">
        <v>30</v>
      </c>
      <c r="B27" s="8"/>
      <c r="C27" s="8"/>
      <c r="D27" s="8"/>
    </row>
    <row r="28" customFormat="false" ht="15" hidden="false" customHeight="true" outlineLevel="0" collapsed="false">
      <c r="A28" s="8" t="s">
        <v>31</v>
      </c>
      <c r="B28" s="8"/>
      <c r="C28" s="8"/>
      <c r="D28" s="8"/>
    </row>
    <row r="29" customFormat="false" ht="15" hidden="false" customHeight="true" outlineLevel="0" collapsed="false">
      <c r="A29" s="8" t="s">
        <v>32</v>
      </c>
      <c r="B29" s="8"/>
      <c r="C29" s="8"/>
      <c r="D29" s="8"/>
    </row>
    <row r="30" customFormat="false" ht="15" hidden="false" customHeight="true" outlineLevel="0" collapsed="false">
      <c r="A30" s="8" t="s">
        <v>33</v>
      </c>
      <c r="B30" s="8"/>
      <c r="C30" s="8"/>
      <c r="D30" s="8"/>
    </row>
    <row r="31" customFormat="false" ht="15" hidden="false" customHeight="true" outlineLevel="0" collapsed="false">
      <c r="A31" s="8" t="s">
        <v>34</v>
      </c>
      <c r="B31" s="8"/>
      <c r="C31" s="8"/>
      <c r="D31" s="8"/>
    </row>
    <row r="32" customFormat="false" ht="15" hidden="false" customHeight="true" outlineLevel="0" collapsed="false">
      <c r="A32" s="8" t="s">
        <v>35</v>
      </c>
      <c r="B32" s="8"/>
      <c r="C32" s="8"/>
      <c r="D32" s="8"/>
    </row>
    <row r="33" customFormat="false" ht="15" hidden="false" customHeight="true" outlineLevel="0" collapsed="false">
      <c r="A33" s="8" t="s">
        <v>36</v>
      </c>
      <c r="B33" s="8"/>
      <c r="C33" s="8"/>
      <c r="D33" s="8"/>
    </row>
    <row r="34" customFormat="false" ht="15" hidden="false" customHeight="true" outlineLevel="0" collapsed="false">
      <c r="A34" s="8" t="s">
        <v>37</v>
      </c>
      <c r="B34" s="8"/>
      <c r="C34" s="8"/>
      <c r="D34" s="8"/>
    </row>
    <row r="35" customFormat="false" ht="15" hidden="false" customHeight="true" outlineLevel="0" collapsed="false">
      <c r="A35" s="8" t="s">
        <v>38</v>
      </c>
      <c r="B35" s="8"/>
      <c r="C35" s="8"/>
      <c r="D35" s="8"/>
    </row>
    <row r="36" customFormat="false" ht="15" hidden="false" customHeight="true" outlineLevel="0" collapsed="false">
      <c r="A36" s="8" t="s">
        <v>32</v>
      </c>
      <c r="B36" s="8"/>
      <c r="C36" s="8"/>
      <c r="D36" s="8"/>
    </row>
    <row r="37" customFormat="false" ht="15" hidden="false" customHeight="true" outlineLevel="0" collapsed="false">
      <c r="A37" s="8" t="s">
        <v>39</v>
      </c>
      <c r="B37" s="8"/>
      <c r="C37" s="8"/>
      <c r="D37" s="8"/>
    </row>
    <row r="38" customFormat="false" ht="15" hidden="false" customHeight="true" outlineLevel="0" collapsed="false">
      <c r="A38" s="8" t="s">
        <v>40</v>
      </c>
      <c r="B38" s="8"/>
      <c r="C38" s="8"/>
      <c r="D38" s="8"/>
    </row>
    <row r="39" customFormat="false" ht="15" hidden="false" customHeight="true" outlineLevel="0" collapsed="false">
      <c r="A39" s="8" t="s">
        <v>41</v>
      </c>
      <c r="B39" s="8"/>
      <c r="C39" s="8"/>
      <c r="D39" s="8"/>
    </row>
    <row r="40" customFormat="false" ht="15" hidden="false" customHeight="true" outlineLevel="0" collapsed="false">
      <c r="A40" s="8" t="s">
        <v>42</v>
      </c>
      <c r="B40" s="8"/>
      <c r="C40" s="8"/>
      <c r="D40" s="8"/>
    </row>
    <row r="41" customFormat="false" ht="15" hidden="false" customHeight="true" outlineLevel="0" collapsed="false">
      <c r="A41" s="8" t="s">
        <v>43</v>
      </c>
      <c r="B41" s="8"/>
      <c r="C41" s="8"/>
      <c r="D41" s="8"/>
    </row>
    <row r="42" customFormat="false" ht="15" hidden="false" customHeight="true" outlineLevel="0" collapsed="false">
      <c r="A42" s="8" t="s">
        <v>44</v>
      </c>
      <c r="B42" s="8"/>
      <c r="C42" s="8"/>
      <c r="D42" s="8"/>
    </row>
    <row r="43" customFormat="false" ht="15" hidden="false" customHeight="true" outlineLevel="0" collapsed="false">
      <c r="A43" s="8" t="s">
        <v>45</v>
      </c>
      <c r="B43" s="8"/>
      <c r="C43" s="8"/>
      <c r="D43" s="8"/>
    </row>
    <row r="44" customFormat="false" ht="15" hidden="false" customHeight="true" outlineLevel="0" collapsed="false">
      <c r="A44" s="8" t="s">
        <v>46</v>
      </c>
      <c r="B44" s="8"/>
      <c r="C44" s="8"/>
      <c r="D44" s="8"/>
    </row>
    <row r="45" customFormat="false" ht="15" hidden="false" customHeight="true" outlineLevel="0" collapsed="false">
      <c r="A45" s="8" t="s">
        <v>47</v>
      </c>
      <c r="B45" s="8"/>
      <c r="C45" s="8"/>
      <c r="D45" s="8"/>
    </row>
    <row r="46" customFormat="false" ht="15" hidden="false" customHeight="true" outlineLevel="0" collapsed="false">
      <c r="A46" s="8" t="s">
        <v>48</v>
      </c>
      <c r="B46" s="8"/>
      <c r="C46" s="8"/>
      <c r="D46" s="8"/>
    </row>
    <row r="47" customFormat="false" ht="15" hidden="false" customHeight="true" outlineLevel="0" collapsed="false">
      <c r="A47" s="8" t="s">
        <v>49</v>
      </c>
      <c r="B47" s="8"/>
      <c r="C47" s="8"/>
      <c r="D47" s="8"/>
    </row>
    <row r="48" customFormat="false" ht="15" hidden="false" customHeight="true" outlineLevel="0" collapsed="false">
      <c r="A48" s="8" t="s">
        <v>50</v>
      </c>
      <c r="B48" s="8"/>
      <c r="C48" s="8"/>
      <c r="D48" s="8"/>
    </row>
    <row r="49" customFormat="false" ht="15" hidden="false" customHeight="true" outlineLevel="0" collapsed="false">
      <c r="A49" s="8" t="s">
        <v>51</v>
      </c>
      <c r="B49" s="8"/>
      <c r="C49" s="8"/>
      <c r="D49" s="8"/>
    </row>
    <row r="50" customFormat="false" ht="15" hidden="false" customHeight="true" outlineLevel="0" collapsed="false">
      <c r="A50" s="8" t="s">
        <v>52</v>
      </c>
      <c r="B50" s="8"/>
      <c r="C50" s="8"/>
      <c r="D50" s="8"/>
    </row>
    <row r="51" customFormat="false" ht="15" hidden="false" customHeight="true" outlineLevel="0" collapsed="false">
      <c r="A51" s="8" t="s">
        <v>53</v>
      </c>
      <c r="B51" s="8"/>
      <c r="C51" s="8"/>
      <c r="D51" s="8"/>
    </row>
    <row r="52" customFormat="false" ht="15" hidden="false" customHeight="true" outlineLevel="0" collapsed="false">
      <c r="A52" s="8" t="s">
        <v>54</v>
      </c>
      <c r="B52" s="8"/>
      <c r="C52" s="8"/>
      <c r="D52" s="8"/>
    </row>
    <row r="53" customFormat="false" ht="15" hidden="false" customHeight="true" outlineLevel="0" collapsed="false">
      <c r="A53" s="8" t="s">
        <v>55</v>
      </c>
      <c r="B53" s="8"/>
      <c r="C53" s="8"/>
      <c r="D53" s="8"/>
    </row>
    <row r="54" customFormat="false" ht="15" hidden="false" customHeight="true" outlineLevel="0" collapsed="false">
      <c r="A54" s="8" t="s">
        <v>56</v>
      </c>
      <c r="B54" s="8"/>
      <c r="C54" s="8"/>
      <c r="D54" s="8"/>
    </row>
    <row r="55" customFormat="false" ht="15" hidden="false" customHeight="true" outlineLevel="0" collapsed="false">
      <c r="A55" s="8" t="s">
        <v>57</v>
      </c>
      <c r="B55" s="8"/>
      <c r="C55" s="8"/>
      <c r="D55" s="8"/>
    </row>
    <row r="56" customFormat="false" ht="15" hidden="false" customHeight="true" outlineLevel="0" collapsed="false">
      <c r="A56" s="8" t="s">
        <v>58</v>
      </c>
      <c r="B56" s="8"/>
      <c r="C56" s="8"/>
      <c r="D56" s="8"/>
    </row>
    <row r="57" customFormat="false" ht="15" hidden="false" customHeight="true" outlineLevel="0" collapsed="false">
      <c r="A57" s="8" t="s">
        <v>59</v>
      </c>
      <c r="B57" s="8"/>
      <c r="C57" s="8"/>
      <c r="D57" s="8"/>
    </row>
    <row r="58" customFormat="false" ht="15" hidden="false" customHeight="true" outlineLevel="0" collapsed="false">
      <c r="A58" s="8" t="s">
        <v>60</v>
      </c>
      <c r="B58" s="8"/>
      <c r="C58" s="8"/>
      <c r="D58" s="8"/>
    </row>
    <row r="59" customFormat="false" ht="15" hidden="false" customHeight="true" outlineLevel="0" collapsed="false">
      <c r="A59" s="8" t="s">
        <v>61</v>
      </c>
      <c r="B59" s="8"/>
      <c r="C59" s="8"/>
      <c r="D59" s="8"/>
    </row>
    <row r="60" customFormat="false" ht="15" hidden="false" customHeight="true" outlineLevel="0" collapsed="false">
      <c r="A60" s="8" t="s">
        <v>62</v>
      </c>
      <c r="B60" s="8"/>
      <c r="C60" s="8"/>
      <c r="D60" s="8"/>
    </row>
    <row r="61" customFormat="false" ht="15" hidden="false" customHeight="true" outlineLevel="0" collapsed="false">
      <c r="A61" s="8" t="s">
        <v>63</v>
      </c>
      <c r="B61" s="8"/>
      <c r="C61" s="8"/>
      <c r="D61" s="8"/>
    </row>
    <row r="62" customFormat="false" ht="15" hidden="false" customHeight="true" outlineLevel="0" collapsed="false">
      <c r="A62" s="8" t="s">
        <v>64</v>
      </c>
      <c r="B62" s="8"/>
      <c r="C62" s="8"/>
      <c r="D62" s="8"/>
    </row>
    <row r="63" customFormat="false" ht="15" hidden="false" customHeight="true" outlineLevel="0" collapsed="false">
      <c r="A63" s="8" t="s">
        <v>65</v>
      </c>
      <c r="B63" s="8"/>
      <c r="C63" s="8"/>
      <c r="D63" s="8"/>
    </row>
    <row r="64" customFormat="false" ht="15" hidden="false" customHeight="true" outlineLevel="0" collapsed="false">
      <c r="A64" s="8" t="s">
        <v>66</v>
      </c>
      <c r="B64" s="8"/>
      <c r="C64" s="8"/>
      <c r="D64" s="8"/>
    </row>
    <row r="65" customFormat="false" ht="15" hidden="false" customHeight="true" outlineLevel="0" collapsed="false">
      <c r="A65" s="8" t="s">
        <v>67</v>
      </c>
      <c r="B65" s="8"/>
      <c r="C65" s="8"/>
      <c r="D65" s="8"/>
    </row>
    <row r="66" customFormat="false" ht="15" hidden="false" customHeight="true" outlineLevel="0" collapsed="false">
      <c r="A66" s="8" t="s">
        <v>68</v>
      </c>
      <c r="B66" s="8"/>
      <c r="C66" s="8"/>
      <c r="D66" s="8"/>
    </row>
    <row r="67" customFormat="false" ht="15" hidden="false" customHeight="true" outlineLevel="0" collapsed="false">
      <c r="A67" s="8" t="s">
        <v>69</v>
      </c>
      <c r="B67" s="8"/>
      <c r="C67" s="8"/>
      <c r="D67" s="8"/>
    </row>
    <row r="68" customFormat="false" ht="15" hidden="false" customHeight="true" outlineLevel="0" collapsed="false">
      <c r="A68" s="8" t="s">
        <v>70</v>
      </c>
      <c r="B68" s="8"/>
      <c r="C68" s="8"/>
      <c r="D68" s="8"/>
    </row>
    <row r="69" customFormat="false" ht="15" hidden="false" customHeight="true" outlineLevel="0" collapsed="false">
      <c r="A69" s="8" t="s">
        <v>71</v>
      </c>
      <c r="B69" s="8"/>
      <c r="C69" s="8"/>
      <c r="D69" s="8"/>
    </row>
    <row r="70" customFormat="false" ht="15" hidden="false" customHeight="true" outlineLevel="0" collapsed="false">
      <c r="A70" s="8" t="s">
        <v>72</v>
      </c>
      <c r="B70" s="8"/>
      <c r="C70" s="8"/>
      <c r="D70" s="8"/>
    </row>
    <row r="71" customFormat="false" ht="15" hidden="false" customHeight="true" outlineLevel="0" collapsed="false">
      <c r="A71" s="8" t="s">
        <v>73</v>
      </c>
      <c r="B71" s="8"/>
      <c r="C71" s="8"/>
      <c r="D71" s="8"/>
    </row>
    <row r="72" customFormat="false" ht="15" hidden="false" customHeight="true" outlineLevel="0" collapsed="false">
      <c r="A72" s="8" t="s">
        <v>74</v>
      </c>
      <c r="B72" s="8"/>
      <c r="C72" s="8"/>
      <c r="D72" s="8"/>
    </row>
    <row r="73" customFormat="false" ht="15" hidden="false" customHeight="true" outlineLevel="0" collapsed="false">
      <c r="A73" s="8" t="s">
        <v>75</v>
      </c>
      <c r="B73" s="8"/>
      <c r="C73" s="8"/>
      <c r="D73" s="8"/>
    </row>
    <row r="74" customFormat="false" ht="15" hidden="false" customHeight="true" outlineLevel="0" collapsed="false">
      <c r="A74" s="8" t="s">
        <v>76</v>
      </c>
      <c r="B74" s="8"/>
      <c r="C74" s="8"/>
      <c r="D74" s="8"/>
    </row>
    <row r="75" customFormat="false" ht="15" hidden="false" customHeight="true" outlineLevel="0" collapsed="false">
      <c r="A75" s="8" t="s">
        <v>77</v>
      </c>
      <c r="B75" s="8"/>
      <c r="C75" s="8"/>
      <c r="D75" s="8"/>
    </row>
    <row r="76" customFormat="false" ht="15" hidden="false" customHeight="true" outlineLevel="0" collapsed="false">
      <c r="A76" s="8" t="s">
        <v>78</v>
      </c>
      <c r="B76" s="8"/>
      <c r="C76" s="8"/>
      <c r="D76" s="8"/>
    </row>
    <row r="77" customFormat="false" ht="15" hidden="false" customHeight="true" outlineLevel="0" collapsed="false">
      <c r="A77" s="8" t="s">
        <v>79</v>
      </c>
      <c r="B77" s="8"/>
      <c r="C77" s="8"/>
      <c r="D77" s="8"/>
    </row>
    <row r="78" customFormat="false" ht="15" hidden="false" customHeight="true" outlineLevel="0" collapsed="false">
      <c r="A78" s="8" t="s">
        <v>80</v>
      </c>
      <c r="B78" s="8"/>
      <c r="C78" s="8"/>
      <c r="D78" s="8"/>
    </row>
    <row r="79" customFormat="false" ht="15" hidden="false" customHeight="true" outlineLevel="0" collapsed="false">
      <c r="A79" s="8" t="s">
        <v>81</v>
      </c>
      <c r="B79" s="8"/>
      <c r="C79" s="8"/>
      <c r="D79" s="8"/>
    </row>
    <row r="80" customFormat="false" ht="15" hidden="false" customHeight="true" outlineLevel="0" collapsed="false">
      <c r="A80" s="8" t="s">
        <v>82</v>
      </c>
      <c r="B80" s="8"/>
      <c r="C80" s="8"/>
      <c r="D80" s="8"/>
    </row>
    <row r="81" customFormat="false" ht="15" hidden="false" customHeight="true" outlineLevel="0" collapsed="false">
      <c r="A81" s="8" t="s">
        <v>83</v>
      </c>
      <c r="B81" s="8"/>
      <c r="C81" s="8"/>
      <c r="D81" s="8"/>
    </row>
    <row r="82" customFormat="false" ht="15" hidden="false" customHeight="true" outlineLevel="0" collapsed="false">
      <c r="A82" s="8" t="s">
        <v>84</v>
      </c>
      <c r="B82" s="8"/>
      <c r="C82" s="8"/>
      <c r="D82" s="8"/>
    </row>
    <row r="83" customFormat="false" ht="15" hidden="false" customHeight="true" outlineLevel="0" collapsed="false">
      <c r="A83" s="8" t="s">
        <v>85</v>
      </c>
      <c r="B83" s="8"/>
      <c r="C83" s="8"/>
      <c r="D83" s="8"/>
    </row>
    <row r="84" customFormat="false" ht="15" hidden="false" customHeight="true" outlineLevel="0" collapsed="false">
      <c r="A84" s="8" t="s">
        <v>86</v>
      </c>
      <c r="B84" s="8"/>
      <c r="C84" s="8"/>
      <c r="D84" s="8"/>
    </row>
    <row r="85" customFormat="false" ht="15" hidden="false" customHeight="true" outlineLevel="0" collapsed="false">
      <c r="A85" s="8" t="s">
        <v>87</v>
      </c>
      <c r="B85" s="8"/>
      <c r="C85" s="8"/>
      <c r="D85" s="8"/>
    </row>
    <row r="86" customFormat="false" ht="15" hidden="false" customHeight="true" outlineLevel="0" collapsed="false">
      <c r="A86" s="8" t="s">
        <v>88</v>
      </c>
      <c r="B86" s="8"/>
      <c r="C86" s="8"/>
      <c r="D86" s="8"/>
    </row>
    <row r="87" customFormat="false" ht="15" hidden="false" customHeight="true" outlineLevel="0" collapsed="false">
      <c r="A87" s="8" t="s">
        <v>89</v>
      </c>
      <c r="B87" s="8"/>
      <c r="C87" s="8"/>
      <c r="D87" s="8"/>
    </row>
    <row r="88" customFormat="false" ht="15" hidden="false" customHeight="true" outlineLevel="0" collapsed="false">
      <c r="A88" s="8" t="s">
        <v>90</v>
      </c>
      <c r="B88" s="8"/>
      <c r="C88" s="8"/>
      <c r="D88" s="8"/>
    </row>
    <row r="89" customFormat="false" ht="15" hidden="false" customHeight="true" outlineLevel="0" collapsed="false">
      <c r="A89" s="8" t="s">
        <v>91</v>
      </c>
      <c r="B89" s="8"/>
      <c r="C89" s="8"/>
      <c r="D89" s="8"/>
    </row>
    <row r="90" customFormat="false" ht="15" hidden="false" customHeight="true" outlineLevel="0" collapsed="false">
      <c r="A90" s="8" t="s">
        <v>92</v>
      </c>
      <c r="B90" s="8"/>
      <c r="C90" s="8"/>
      <c r="D90" s="8"/>
    </row>
    <row r="91" customFormat="false" ht="15" hidden="false" customHeight="true" outlineLevel="0" collapsed="false">
      <c r="A91" s="8" t="s">
        <v>93</v>
      </c>
      <c r="B91" s="8"/>
      <c r="C91" s="8"/>
      <c r="D91" s="8"/>
    </row>
  </sheetData>
  <mergeCells count="88">
    <mergeCell ref="A1:D1"/>
    <mergeCell ref="A3:D3"/>
    <mergeCell ref="B4:D4"/>
    <mergeCell ref="B5:D5"/>
    <mergeCell ref="B6:D6"/>
    <mergeCell ref="B7:D7"/>
    <mergeCell ref="B8:D8"/>
    <mergeCell ref="B9:D9"/>
    <mergeCell ref="A10:D10"/>
    <mergeCell ref="A12:D12"/>
    <mergeCell ref="B13:D13"/>
    <mergeCell ref="B14:D14"/>
    <mergeCell ref="B15:D15"/>
    <mergeCell ref="B16:D16"/>
    <mergeCell ref="B17:D17"/>
    <mergeCell ref="B18:D18"/>
    <mergeCell ref="B19:D19"/>
    <mergeCell ref="A20:D20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8"/>
    <col collapsed="false" customWidth="true" hidden="false" outlineLevel="0" max="2" min="2" style="9" width="16"/>
    <col collapsed="false" customWidth="true" hidden="false" outlineLevel="0" max="3" min="3" style="9" width="18"/>
    <col collapsed="false" customWidth="true" hidden="false" outlineLevel="0" max="4" min="4" style="9" width="15"/>
    <col collapsed="false" customWidth="true" hidden="false" outlineLevel="0" max="6" min="5" style="9" width="14"/>
  </cols>
  <sheetData>
    <row r="1" customFormat="false" ht="39.75" hidden="false" customHeight="true" outlineLevel="0" collapsed="false">
      <c r="A1" s="10" t="s">
        <v>94</v>
      </c>
      <c r="B1" s="10"/>
      <c r="C1" s="10"/>
      <c r="D1" s="10"/>
      <c r="E1" s="10"/>
      <c r="F1" s="10"/>
    </row>
    <row r="2" customFormat="false" ht="18" hidden="false" customHeight="true" outlineLevel="0" collapsed="false">
      <c r="A2" s="11" t="s">
        <v>95</v>
      </c>
      <c r="B2" s="11"/>
      <c r="C2" s="11"/>
      <c r="D2" s="11"/>
      <c r="E2" s="11"/>
      <c r="F2" s="11"/>
    </row>
    <row r="3" customFormat="false" ht="21.75" hidden="false" customHeight="true" outlineLevel="0" collapsed="false">
      <c r="A3" s="12" t="s">
        <v>96</v>
      </c>
      <c r="B3" s="12" t="s">
        <v>97</v>
      </c>
      <c r="C3" s="12" t="s">
        <v>98</v>
      </c>
      <c r="D3" s="12" t="s">
        <v>99</v>
      </c>
      <c r="E3" s="12" t="s">
        <v>100</v>
      </c>
      <c r="F3" s="12" t="s">
        <v>101</v>
      </c>
    </row>
    <row r="4" customFormat="false" ht="27.75" hidden="false" customHeight="true" outlineLevel="0" collapsed="false">
      <c r="A4" s="13" t="n">
        <f aca="false">RANK(D4,$D$4:$D$9,0)</f>
        <v>1</v>
      </c>
      <c r="B4" s="14" t="s">
        <v>102</v>
      </c>
      <c r="C4" s="15" t="str">
        <f aca="false">Raman!D71</f>
        <v>Duke</v>
      </c>
      <c r="D4" s="16" t="n">
        <f aca="false">Raman!G73</f>
        <v>2</v>
      </c>
      <c r="E4" s="15" t="n">
        <f aca="false">Raman!H73</f>
        <v>190</v>
      </c>
      <c r="F4" s="17" t="n">
        <f aca="false">D4+E4</f>
        <v>192</v>
      </c>
    </row>
    <row r="5" customFormat="false" ht="27.75" hidden="false" customHeight="true" outlineLevel="0" collapsed="false">
      <c r="A5" s="13" t="n">
        <f aca="false">RANK(D5,$D$4:$D$9,0)</f>
        <v>5</v>
      </c>
      <c r="B5" s="14" t="s">
        <v>103</v>
      </c>
      <c r="C5" s="15" t="str">
        <f aca="false">Porter!D71</f>
        <v>UConn</v>
      </c>
      <c r="D5" s="16" t="n">
        <f aca="false">Porter!G73</f>
        <v>1</v>
      </c>
      <c r="E5" s="15" t="n">
        <f aca="false">Porter!H73</f>
        <v>190</v>
      </c>
      <c r="F5" s="17" t="n">
        <f aca="false">D5+E5</f>
        <v>191</v>
      </c>
    </row>
    <row r="6" customFormat="false" ht="27.75" hidden="false" customHeight="true" outlineLevel="0" collapsed="false">
      <c r="A6" s="13" t="n">
        <f aca="false">RANK(D6,$D$4:$D$9,0)</f>
        <v>5</v>
      </c>
      <c r="B6" s="14" t="s">
        <v>104</v>
      </c>
      <c r="C6" s="15" t="str">
        <f aca="false">Chuck!D71</f>
        <v>Duke</v>
      </c>
      <c r="D6" s="16" t="n">
        <f aca="false">Chuck!G73</f>
        <v>1</v>
      </c>
      <c r="E6" s="15" t="n">
        <f aca="false">Chuck!H73</f>
        <v>190</v>
      </c>
      <c r="F6" s="17" t="n">
        <f aca="false">D6+E6</f>
        <v>191</v>
      </c>
    </row>
    <row r="7" customFormat="false" ht="27.75" hidden="false" customHeight="true" outlineLevel="0" collapsed="false">
      <c r="A7" s="13" t="n">
        <f aca="false">RANK(D7,$D$4:$D$9,0)</f>
        <v>1</v>
      </c>
      <c r="B7" s="14" t="s">
        <v>105</v>
      </c>
      <c r="C7" s="15" t="str">
        <f aca="false">Shelly!D71</f>
        <v>Duke</v>
      </c>
      <c r="D7" s="16" t="n">
        <f aca="false">Shelly!G73</f>
        <v>2</v>
      </c>
      <c r="E7" s="15" t="n">
        <f aca="false">Shelly!H73</f>
        <v>190</v>
      </c>
      <c r="F7" s="17" t="n">
        <f aca="false">D7+E7</f>
        <v>192</v>
      </c>
    </row>
    <row r="8" customFormat="false" ht="27.75" hidden="false" customHeight="true" outlineLevel="0" collapsed="false">
      <c r="A8" s="13" t="n">
        <f aca="false">RANK(D8,$D$4:$D$9,0)</f>
        <v>1</v>
      </c>
      <c r="B8" s="14" t="s">
        <v>106</v>
      </c>
      <c r="C8" s="15" t="str">
        <f aca="false">Kim!D71</f>
        <v>Arizona</v>
      </c>
      <c r="D8" s="16" t="n">
        <f aca="false">Kim!G73</f>
        <v>2</v>
      </c>
      <c r="E8" s="15" t="n">
        <f aca="false">Kim!H73</f>
        <v>190</v>
      </c>
      <c r="F8" s="17" t="n">
        <f aca="false">D8+E8</f>
        <v>192</v>
      </c>
    </row>
    <row r="9" customFormat="false" ht="27.75" hidden="false" customHeight="true" outlineLevel="0" collapsed="false">
      <c r="A9" s="13" t="n">
        <f aca="false">RANK(D9,$D$4:$D$9,0)</f>
        <v>1</v>
      </c>
      <c r="B9" s="14" t="s">
        <v>107</v>
      </c>
      <c r="C9" s="15" t="str">
        <f aca="false">Tucker!D71</f>
        <v>Duke</v>
      </c>
      <c r="D9" s="16" t="n">
        <f aca="false">Tucker!G73</f>
        <v>2</v>
      </c>
      <c r="E9" s="15" t="n">
        <f aca="false">Tucker!H73</f>
        <v>190</v>
      </c>
      <c r="F9" s="17" t="n">
        <f aca="false">D9+E9</f>
        <v>192</v>
      </c>
    </row>
    <row r="11" customFormat="false" ht="18" hidden="false" customHeight="true" outlineLevel="0" collapsed="false">
      <c r="A11" s="18" t="s">
        <v>108</v>
      </c>
      <c r="B11" s="18"/>
      <c r="C11" s="18"/>
      <c r="D11" s="18"/>
      <c r="E11" s="18"/>
      <c r="F11" s="18"/>
    </row>
    <row r="12" customFormat="false" ht="18" hidden="false" customHeight="true" outlineLevel="0" collapsed="false">
      <c r="A12" s="19" t="s">
        <v>109</v>
      </c>
      <c r="B12" s="20" t="s">
        <v>110</v>
      </c>
      <c r="C12" s="21" t="s">
        <v>111</v>
      </c>
      <c r="D12" s="22" t="s">
        <v>112</v>
      </c>
      <c r="E12" s="23" t="s">
        <v>113</v>
      </c>
      <c r="F12" s="24" t="s">
        <v>114</v>
      </c>
    </row>
    <row r="13" customFormat="false" ht="19.5" hidden="false" customHeight="true" outlineLevel="0" collapsed="false">
      <c r="A13" s="25" t="s">
        <v>115</v>
      </c>
      <c r="B13" s="25" t="s">
        <v>116</v>
      </c>
      <c r="C13" s="25" t="s">
        <v>117</v>
      </c>
      <c r="D13" s="25" t="s">
        <v>118</v>
      </c>
      <c r="E13" s="25" t="s">
        <v>119</v>
      </c>
      <c r="F13" s="25" t="s">
        <v>120</v>
      </c>
    </row>
  </sheetData>
  <mergeCells count="3">
    <mergeCell ref="A1:F1"/>
    <mergeCell ref="A2:F2"/>
    <mergeCell ref="A11:F11"/>
  </mergeCells>
  <conditionalFormatting sqref="A4:F9">
    <cfRule type="expression" priority="2" aboveAverage="0" equalAverage="0" bottom="0" percent="0" rank="0" text="" dxfId="0">
      <formula>$A4=1</formula>
    </cfRule>
    <cfRule type="expression" priority="3" aboveAverage="0" equalAverage="0" bottom="0" percent="0" rank="0" text="" dxfId="1">
      <formula>$A4=2</formula>
    </cfRule>
    <cfRule type="expression" priority="4" aboveAverage="0" equalAverage="0" bottom="0" percent="0" rank="0" text="" dxfId="2">
      <formula>$A4=3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22"/>
  </cols>
  <sheetData>
    <row r="1" customFormat="false" ht="31.5" hidden="false" customHeight="true" outlineLevel="0" collapsed="false">
      <c r="A1" s="26" t="s">
        <v>121</v>
      </c>
      <c r="B1" s="26"/>
      <c r="C1" s="26"/>
      <c r="D1" s="26"/>
    </row>
    <row r="2" customFormat="false" ht="19.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125</v>
      </c>
    </row>
    <row r="3" customFormat="false" ht="18.75" hidden="false" customHeight="true" outlineLevel="0" collapsed="false">
      <c r="A3" s="27" t="s">
        <v>126</v>
      </c>
      <c r="B3" s="27"/>
      <c r="C3" s="27"/>
      <c r="D3" s="27"/>
    </row>
    <row r="4" customFormat="false" ht="15.75" hidden="false" customHeight="true" outlineLevel="0" collapsed="false">
      <c r="A4" s="28" t="s">
        <v>109</v>
      </c>
      <c r="B4" s="28" t="s">
        <v>127</v>
      </c>
      <c r="C4" s="29" t="s">
        <v>128</v>
      </c>
      <c r="D4" s="28"/>
    </row>
    <row r="5" customFormat="false" ht="15.75" hidden="false" customHeight="true" outlineLevel="0" collapsed="false">
      <c r="A5" s="28" t="s">
        <v>109</v>
      </c>
      <c r="B5" s="28" t="s">
        <v>129</v>
      </c>
      <c r="C5" s="29" t="s">
        <v>130</v>
      </c>
      <c r="D5" s="30" t="s">
        <v>131</v>
      </c>
    </row>
    <row r="6" customFormat="false" ht="15.75" hidden="false" customHeight="true" outlineLevel="0" collapsed="false">
      <c r="A6" s="28" t="s">
        <v>109</v>
      </c>
      <c r="B6" s="28" t="s">
        <v>132</v>
      </c>
      <c r="C6" s="29" t="s">
        <v>133</v>
      </c>
      <c r="D6" s="28"/>
    </row>
    <row r="7" customFormat="false" ht="15.75" hidden="false" customHeight="true" outlineLevel="0" collapsed="false">
      <c r="A7" s="28" t="s">
        <v>109</v>
      </c>
      <c r="B7" s="28" t="s">
        <v>134</v>
      </c>
      <c r="C7" s="29" t="s">
        <v>135</v>
      </c>
      <c r="D7" s="28"/>
    </row>
    <row r="8" customFormat="false" ht="15.75" hidden="false" customHeight="true" outlineLevel="0" collapsed="false">
      <c r="A8" s="28" t="s">
        <v>109</v>
      </c>
      <c r="B8" s="28" t="s">
        <v>136</v>
      </c>
      <c r="C8" s="29" t="s">
        <v>137</v>
      </c>
      <c r="D8" s="28"/>
    </row>
    <row r="9" customFormat="false" ht="15.75" hidden="false" customHeight="true" outlineLevel="0" collapsed="false">
      <c r="A9" s="28" t="s">
        <v>109</v>
      </c>
      <c r="B9" s="28" t="s">
        <v>138</v>
      </c>
      <c r="C9" s="29" t="s">
        <v>139</v>
      </c>
      <c r="D9" s="28"/>
    </row>
    <row r="10" customFormat="false" ht="15.75" hidden="false" customHeight="true" outlineLevel="0" collapsed="false">
      <c r="A10" s="28" t="s">
        <v>109</v>
      </c>
      <c r="B10" s="28" t="s">
        <v>140</v>
      </c>
      <c r="C10" s="29" t="s">
        <v>141</v>
      </c>
      <c r="D10" s="28"/>
    </row>
    <row r="11" customFormat="false" ht="15.75" hidden="false" customHeight="true" outlineLevel="0" collapsed="false">
      <c r="A11" s="28" t="s">
        <v>109</v>
      </c>
      <c r="B11" s="28" t="s">
        <v>142</v>
      </c>
      <c r="C11" s="29" t="s">
        <v>143</v>
      </c>
      <c r="D11" s="28"/>
    </row>
    <row r="12" customFormat="false" ht="15.75" hidden="false" customHeight="true" outlineLevel="0" collapsed="false">
      <c r="A12" s="28" t="s">
        <v>109</v>
      </c>
      <c r="B12" s="28" t="s">
        <v>144</v>
      </c>
      <c r="C12" s="29" t="s">
        <v>145</v>
      </c>
      <c r="D12" s="28"/>
    </row>
    <row r="13" customFormat="false" ht="15.75" hidden="false" customHeight="true" outlineLevel="0" collapsed="false">
      <c r="A13" s="28" t="s">
        <v>109</v>
      </c>
      <c r="B13" s="28" t="s">
        <v>146</v>
      </c>
      <c r="C13" s="29" t="s">
        <v>147</v>
      </c>
      <c r="D13" s="28"/>
    </row>
    <row r="14" customFormat="false" ht="15.75" hidden="false" customHeight="true" outlineLevel="0" collapsed="false">
      <c r="A14" s="28" t="s">
        <v>109</v>
      </c>
      <c r="B14" s="28" t="s">
        <v>148</v>
      </c>
      <c r="C14" s="29" t="s">
        <v>149</v>
      </c>
      <c r="D14" s="28"/>
    </row>
    <row r="15" customFormat="false" ht="15.75" hidden="false" customHeight="true" outlineLevel="0" collapsed="false">
      <c r="A15" s="28" t="s">
        <v>109</v>
      </c>
      <c r="B15" s="28" t="s">
        <v>150</v>
      </c>
      <c r="C15" s="29" t="s">
        <v>151</v>
      </c>
      <c r="D15" s="30" t="s">
        <v>152</v>
      </c>
    </row>
    <row r="16" customFormat="false" ht="15.75" hidden="false" customHeight="true" outlineLevel="0" collapsed="false">
      <c r="A16" s="28" t="s">
        <v>109</v>
      </c>
      <c r="B16" s="28" t="s">
        <v>153</v>
      </c>
      <c r="C16" s="29" t="s">
        <v>154</v>
      </c>
      <c r="D16" s="28"/>
    </row>
    <row r="17" customFormat="false" ht="15.75" hidden="false" customHeight="true" outlineLevel="0" collapsed="false">
      <c r="A17" s="28" t="s">
        <v>109</v>
      </c>
      <c r="B17" s="28" t="s">
        <v>155</v>
      </c>
      <c r="C17" s="29" t="s">
        <v>156</v>
      </c>
      <c r="D17" s="28"/>
    </row>
    <row r="18" customFormat="false" ht="15.75" hidden="false" customHeight="true" outlineLevel="0" collapsed="false">
      <c r="A18" s="28" t="s">
        <v>109</v>
      </c>
      <c r="B18" s="28" t="s">
        <v>157</v>
      </c>
      <c r="C18" s="29" t="s">
        <v>158</v>
      </c>
      <c r="D18" s="28"/>
    </row>
    <row r="19" customFormat="false" ht="15.75" hidden="false" customHeight="true" outlineLevel="0" collapsed="false">
      <c r="A19" s="28" t="s">
        <v>109</v>
      </c>
      <c r="B19" s="28" t="s">
        <v>159</v>
      </c>
      <c r="C19" s="29" t="s">
        <v>160</v>
      </c>
      <c r="D19" s="28"/>
    </row>
    <row r="20" customFormat="false" ht="15.75" hidden="false" customHeight="true" outlineLevel="0" collapsed="false">
      <c r="A20" s="28" t="s">
        <v>109</v>
      </c>
      <c r="B20" s="28" t="s">
        <v>161</v>
      </c>
      <c r="C20" s="29" t="s">
        <v>162</v>
      </c>
      <c r="D20" s="28"/>
    </row>
    <row r="21" customFormat="false" ht="15.75" hidden="false" customHeight="true" outlineLevel="0" collapsed="false">
      <c r="A21" s="28" t="s">
        <v>109</v>
      </c>
      <c r="B21" s="28" t="s">
        <v>163</v>
      </c>
      <c r="C21" s="29" t="s">
        <v>164</v>
      </c>
      <c r="D21" s="28"/>
    </row>
    <row r="22" customFormat="false" ht="15.75" hidden="false" customHeight="true" outlineLevel="0" collapsed="false">
      <c r="A22" s="28" t="s">
        <v>109</v>
      </c>
      <c r="B22" s="28" t="s">
        <v>165</v>
      </c>
      <c r="C22" s="29" t="s">
        <v>166</v>
      </c>
      <c r="D22" s="28"/>
    </row>
    <row r="23" customFormat="false" ht="15.75" hidden="false" customHeight="true" outlineLevel="0" collapsed="false">
      <c r="A23" s="28" t="s">
        <v>109</v>
      </c>
      <c r="B23" s="28" t="s">
        <v>167</v>
      </c>
      <c r="C23" s="29" t="s">
        <v>168</v>
      </c>
      <c r="D23" s="28"/>
    </row>
    <row r="24" customFormat="false" ht="15.75" hidden="false" customHeight="true" outlineLevel="0" collapsed="false">
      <c r="A24" s="28" t="s">
        <v>109</v>
      </c>
      <c r="B24" s="28" t="s">
        <v>169</v>
      </c>
      <c r="C24" s="29" t="s">
        <v>170</v>
      </c>
      <c r="D24" s="28"/>
    </row>
    <row r="25" customFormat="false" ht="15.75" hidden="false" customHeight="true" outlineLevel="0" collapsed="false">
      <c r="A25" s="28" t="s">
        <v>109</v>
      </c>
      <c r="B25" s="28" t="s">
        <v>171</v>
      </c>
      <c r="C25" s="29" t="s">
        <v>172</v>
      </c>
      <c r="D25" s="28"/>
    </row>
    <row r="26" customFormat="false" ht="15.75" hidden="false" customHeight="true" outlineLevel="0" collapsed="false">
      <c r="A26" s="28" t="s">
        <v>109</v>
      </c>
      <c r="B26" s="28" t="s">
        <v>173</v>
      </c>
      <c r="C26" s="29" t="s">
        <v>174</v>
      </c>
      <c r="D26" s="28"/>
    </row>
    <row r="27" customFormat="false" ht="15.75" hidden="false" customHeight="true" outlineLevel="0" collapsed="false">
      <c r="A27" s="28" t="s">
        <v>109</v>
      </c>
      <c r="B27" s="28" t="s">
        <v>175</v>
      </c>
      <c r="C27" s="29" t="s">
        <v>176</v>
      </c>
      <c r="D27" s="28"/>
    </row>
    <row r="28" customFormat="false" ht="15.75" hidden="false" customHeight="true" outlineLevel="0" collapsed="false">
      <c r="A28" s="28" t="s">
        <v>109</v>
      </c>
      <c r="B28" s="28" t="s">
        <v>177</v>
      </c>
      <c r="C28" s="29" t="s">
        <v>178</v>
      </c>
      <c r="D28" s="28"/>
    </row>
    <row r="29" customFormat="false" ht="15.75" hidden="false" customHeight="true" outlineLevel="0" collapsed="false">
      <c r="A29" s="28" t="s">
        <v>109</v>
      </c>
      <c r="B29" s="28" t="s">
        <v>179</v>
      </c>
      <c r="C29" s="29" t="s">
        <v>180</v>
      </c>
      <c r="D29" s="28"/>
    </row>
    <row r="30" customFormat="false" ht="15.75" hidden="false" customHeight="true" outlineLevel="0" collapsed="false">
      <c r="A30" s="28" t="s">
        <v>109</v>
      </c>
      <c r="B30" s="28" t="s">
        <v>181</v>
      </c>
      <c r="C30" s="29" t="s">
        <v>182</v>
      </c>
      <c r="D30" s="28"/>
    </row>
    <row r="31" customFormat="false" ht="15.75" hidden="false" customHeight="true" outlineLevel="0" collapsed="false">
      <c r="A31" s="28" t="s">
        <v>109</v>
      </c>
      <c r="B31" s="28" t="s">
        <v>183</v>
      </c>
      <c r="C31" s="29" t="s">
        <v>184</v>
      </c>
      <c r="D31" s="28"/>
    </row>
    <row r="32" customFormat="false" ht="15.75" hidden="false" customHeight="true" outlineLevel="0" collapsed="false">
      <c r="A32" s="28" t="s">
        <v>109</v>
      </c>
      <c r="B32" s="28" t="s">
        <v>185</v>
      </c>
      <c r="C32" s="29" t="s">
        <v>186</v>
      </c>
      <c r="D32" s="28"/>
    </row>
    <row r="33" customFormat="false" ht="15.75" hidden="false" customHeight="true" outlineLevel="0" collapsed="false">
      <c r="A33" s="28" t="s">
        <v>109</v>
      </c>
      <c r="B33" s="28" t="s">
        <v>187</v>
      </c>
      <c r="C33" s="29" t="s">
        <v>188</v>
      </c>
      <c r="D33" s="28"/>
    </row>
    <row r="34" customFormat="false" ht="15.75" hidden="false" customHeight="true" outlineLevel="0" collapsed="false">
      <c r="A34" s="28" t="s">
        <v>109</v>
      </c>
      <c r="B34" s="28" t="s">
        <v>189</v>
      </c>
      <c r="C34" s="29" t="s">
        <v>190</v>
      </c>
      <c r="D34" s="28"/>
    </row>
    <row r="35" customFormat="false" ht="15.75" hidden="false" customHeight="true" outlineLevel="0" collapsed="false">
      <c r="A35" s="28" t="s">
        <v>109</v>
      </c>
      <c r="B35" s="28" t="s">
        <v>191</v>
      </c>
      <c r="C35" s="29" t="s">
        <v>192</v>
      </c>
      <c r="D35" s="28"/>
    </row>
    <row r="36" customFormat="false" ht="18.75" hidden="false" customHeight="true" outlineLevel="0" collapsed="false">
      <c r="A36" s="31" t="s">
        <v>193</v>
      </c>
      <c r="B36" s="31"/>
      <c r="C36" s="31"/>
      <c r="D36" s="31"/>
    </row>
    <row r="37" customFormat="false" ht="15.75" hidden="false" customHeight="true" outlineLevel="0" collapsed="false">
      <c r="A37" s="32" t="s">
        <v>110</v>
      </c>
      <c r="B37" s="32" t="s">
        <v>194</v>
      </c>
      <c r="C37" s="33" t="s">
        <v>195</v>
      </c>
      <c r="D37" s="32"/>
    </row>
    <row r="38" customFormat="false" ht="15.75" hidden="false" customHeight="true" outlineLevel="0" collapsed="false">
      <c r="A38" s="32" t="s">
        <v>110</v>
      </c>
      <c r="B38" s="32" t="s">
        <v>196</v>
      </c>
      <c r="C38" s="33" t="s">
        <v>197</v>
      </c>
      <c r="D38" s="32"/>
    </row>
    <row r="39" customFormat="false" ht="15.75" hidden="false" customHeight="true" outlineLevel="0" collapsed="false">
      <c r="A39" s="32" t="s">
        <v>110</v>
      </c>
      <c r="B39" s="32" t="s">
        <v>198</v>
      </c>
      <c r="C39" s="33" t="s">
        <v>199</v>
      </c>
      <c r="D39" s="32"/>
    </row>
    <row r="40" customFormat="false" ht="15.75" hidden="false" customHeight="true" outlineLevel="0" collapsed="false">
      <c r="A40" s="32" t="s">
        <v>110</v>
      </c>
      <c r="B40" s="32" t="s">
        <v>200</v>
      </c>
      <c r="C40" s="33" t="s">
        <v>201</v>
      </c>
      <c r="D40" s="32"/>
    </row>
    <row r="41" customFormat="false" ht="15.75" hidden="false" customHeight="true" outlineLevel="0" collapsed="false">
      <c r="A41" s="32" t="s">
        <v>110</v>
      </c>
      <c r="B41" s="32" t="s">
        <v>202</v>
      </c>
      <c r="C41" s="33" t="s">
        <v>203</v>
      </c>
      <c r="D41" s="32"/>
    </row>
    <row r="42" customFormat="false" ht="15.75" hidden="false" customHeight="true" outlineLevel="0" collapsed="false">
      <c r="A42" s="32" t="s">
        <v>110</v>
      </c>
      <c r="B42" s="32" t="s">
        <v>204</v>
      </c>
      <c r="C42" s="33" t="s">
        <v>205</v>
      </c>
      <c r="D42" s="32"/>
    </row>
    <row r="43" customFormat="false" ht="15.75" hidden="false" customHeight="true" outlineLevel="0" collapsed="false">
      <c r="A43" s="32" t="s">
        <v>110</v>
      </c>
      <c r="B43" s="32" t="s">
        <v>206</v>
      </c>
      <c r="C43" s="33" t="s">
        <v>207</v>
      </c>
      <c r="D43" s="32"/>
    </row>
    <row r="44" customFormat="false" ht="15.75" hidden="false" customHeight="true" outlineLevel="0" collapsed="false">
      <c r="A44" s="32" t="s">
        <v>110</v>
      </c>
      <c r="B44" s="32" t="s">
        <v>208</v>
      </c>
      <c r="C44" s="33" t="s">
        <v>209</v>
      </c>
      <c r="D44" s="32"/>
    </row>
    <row r="45" customFormat="false" ht="15.75" hidden="false" customHeight="true" outlineLevel="0" collapsed="false">
      <c r="A45" s="32" t="s">
        <v>110</v>
      </c>
      <c r="B45" s="32" t="s">
        <v>210</v>
      </c>
      <c r="C45" s="33" t="s">
        <v>211</v>
      </c>
      <c r="D45" s="32"/>
    </row>
    <row r="46" customFormat="false" ht="15.75" hidden="false" customHeight="true" outlineLevel="0" collapsed="false">
      <c r="A46" s="32" t="s">
        <v>110</v>
      </c>
      <c r="B46" s="32" t="s">
        <v>212</v>
      </c>
      <c r="C46" s="33" t="s">
        <v>213</v>
      </c>
      <c r="D46" s="32"/>
    </row>
    <row r="47" customFormat="false" ht="15.75" hidden="false" customHeight="true" outlineLevel="0" collapsed="false">
      <c r="A47" s="32" t="s">
        <v>110</v>
      </c>
      <c r="B47" s="32" t="s">
        <v>214</v>
      </c>
      <c r="C47" s="33" t="s">
        <v>215</v>
      </c>
      <c r="D47" s="32"/>
    </row>
    <row r="48" customFormat="false" ht="15.75" hidden="false" customHeight="true" outlineLevel="0" collapsed="false">
      <c r="A48" s="32" t="s">
        <v>110</v>
      </c>
      <c r="B48" s="32" t="s">
        <v>216</v>
      </c>
      <c r="C48" s="33" t="s">
        <v>217</v>
      </c>
      <c r="D48" s="32"/>
    </row>
    <row r="49" customFormat="false" ht="15.75" hidden="false" customHeight="true" outlineLevel="0" collapsed="false">
      <c r="A49" s="32" t="s">
        <v>110</v>
      </c>
      <c r="B49" s="32" t="s">
        <v>218</v>
      </c>
      <c r="C49" s="33" t="s">
        <v>219</v>
      </c>
      <c r="D49" s="32"/>
    </row>
    <row r="50" customFormat="false" ht="15.75" hidden="false" customHeight="true" outlineLevel="0" collapsed="false">
      <c r="A50" s="32" t="s">
        <v>110</v>
      </c>
      <c r="B50" s="32" t="s">
        <v>220</v>
      </c>
      <c r="C50" s="33" t="s">
        <v>221</v>
      </c>
      <c r="D50" s="32"/>
    </row>
    <row r="51" customFormat="false" ht="15.75" hidden="false" customHeight="true" outlineLevel="0" collapsed="false">
      <c r="A51" s="32" t="s">
        <v>110</v>
      </c>
      <c r="B51" s="32" t="s">
        <v>222</v>
      </c>
      <c r="C51" s="33" t="s">
        <v>223</v>
      </c>
      <c r="D51" s="32"/>
    </row>
    <row r="52" customFormat="false" ht="15.75" hidden="false" customHeight="true" outlineLevel="0" collapsed="false">
      <c r="A52" s="32" t="s">
        <v>110</v>
      </c>
      <c r="B52" s="32" t="s">
        <v>224</v>
      </c>
      <c r="C52" s="33" t="s">
        <v>225</v>
      </c>
      <c r="D52" s="32"/>
    </row>
    <row r="53" customFormat="false" ht="18.75" hidden="false" customHeight="true" outlineLevel="0" collapsed="false">
      <c r="A53" s="34" t="s">
        <v>226</v>
      </c>
      <c r="B53" s="34"/>
      <c r="C53" s="34"/>
      <c r="D53" s="34"/>
    </row>
    <row r="54" customFormat="false" ht="15.75" hidden="false" customHeight="true" outlineLevel="0" collapsed="false">
      <c r="A54" s="35" t="s">
        <v>111</v>
      </c>
      <c r="B54" s="35" t="s">
        <v>227</v>
      </c>
      <c r="C54" s="36" t="s">
        <v>195</v>
      </c>
      <c r="D54" s="35"/>
    </row>
    <row r="55" customFormat="false" ht="15.75" hidden="false" customHeight="true" outlineLevel="0" collapsed="false">
      <c r="A55" s="35" t="s">
        <v>111</v>
      </c>
      <c r="B55" s="35" t="s">
        <v>228</v>
      </c>
      <c r="C55" s="36" t="s">
        <v>197</v>
      </c>
      <c r="D55" s="35"/>
    </row>
    <row r="56" customFormat="false" ht="15.75" hidden="false" customHeight="true" outlineLevel="0" collapsed="false">
      <c r="A56" s="35" t="s">
        <v>111</v>
      </c>
      <c r="B56" s="35" t="s">
        <v>229</v>
      </c>
      <c r="C56" s="36" t="s">
        <v>199</v>
      </c>
      <c r="D56" s="35"/>
    </row>
    <row r="57" customFormat="false" ht="15.75" hidden="false" customHeight="true" outlineLevel="0" collapsed="false">
      <c r="A57" s="35" t="s">
        <v>111</v>
      </c>
      <c r="B57" s="35" t="s">
        <v>230</v>
      </c>
      <c r="C57" s="36" t="s">
        <v>201</v>
      </c>
      <c r="D57" s="35"/>
    </row>
    <row r="58" customFormat="false" ht="15.75" hidden="false" customHeight="true" outlineLevel="0" collapsed="false">
      <c r="A58" s="35" t="s">
        <v>111</v>
      </c>
      <c r="B58" s="35" t="s">
        <v>231</v>
      </c>
      <c r="C58" s="36" t="s">
        <v>203</v>
      </c>
      <c r="D58" s="35"/>
    </row>
    <row r="59" customFormat="false" ht="15.75" hidden="false" customHeight="true" outlineLevel="0" collapsed="false">
      <c r="A59" s="35" t="s">
        <v>111</v>
      </c>
      <c r="B59" s="35" t="s">
        <v>232</v>
      </c>
      <c r="C59" s="36" t="s">
        <v>205</v>
      </c>
      <c r="D59" s="35"/>
    </row>
    <row r="60" customFormat="false" ht="15.75" hidden="false" customHeight="true" outlineLevel="0" collapsed="false">
      <c r="A60" s="35" t="s">
        <v>111</v>
      </c>
      <c r="B60" s="35" t="s">
        <v>233</v>
      </c>
      <c r="C60" s="36" t="s">
        <v>207</v>
      </c>
      <c r="D60" s="35"/>
    </row>
    <row r="61" customFormat="false" ht="15.75" hidden="false" customHeight="true" outlineLevel="0" collapsed="false">
      <c r="A61" s="35" t="s">
        <v>111</v>
      </c>
      <c r="B61" s="35" t="s">
        <v>234</v>
      </c>
      <c r="C61" s="36" t="s">
        <v>209</v>
      </c>
      <c r="D61" s="35"/>
    </row>
    <row r="62" customFormat="false" ht="18.75" hidden="false" customHeight="true" outlineLevel="0" collapsed="false">
      <c r="A62" s="37" t="s">
        <v>235</v>
      </c>
      <c r="B62" s="37"/>
      <c r="C62" s="37"/>
      <c r="D62" s="37"/>
    </row>
    <row r="63" customFormat="false" ht="15.75" hidden="false" customHeight="true" outlineLevel="0" collapsed="false">
      <c r="A63" s="38" t="s">
        <v>112</v>
      </c>
      <c r="B63" s="38" t="s">
        <v>236</v>
      </c>
      <c r="C63" s="39" t="s">
        <v>195</v>
      </c>
      <c r="D63" s="38"/>
    </row>
    <row r="64" customFormat="false" ht="15.75" hidden="false" customHeight="true" outlineLevel="0" collapsed="false">
      <c r="A64" s="38" t="s">
        <v>112</v>
      </c>
      <c r="B64" s="38" t="s">
        <v>237</v>
      </c>
      <c r="C64" s="39" t="s">
        <v>197</v>
      </c>
      <c r="D64" s="38"/>
    </row>
    <row r="65" customFormat="false" ht="15.75" hidden="false" customHeight="true" outlineLevel="0" collapsed="false">
      <c r="A65" s="38" t="s">
        <v>112</v>
      </c>
      <c r="B65" s="38" t="s">
        <v>238</v>
      </c>
      <c r="C65" s="39" t="s">
        <v>199</v>
      </c>
      <c r="D65" s="38"/>
    </row>
    <row r="66" customFormat="false" ht="15.75" hidden="false" customHeight="true" outlineLevel="0" collapsed="false">
      <c r="A66" s="38" t="s">
        <v>112</v>
      </c>
      <c r="B66" s="38" t="s">
        <v>239</v>
      </c>
      <c r="C66" s="39" t="s">
        <v>201</v>
      </c>
      <c r="D66" s="38"/>
    </row>
    <row r="67" customFormat="false" ht="18.75" hidden="false" customHeight="true" outlineLevel="0" collapsed="false">
      <c r="A67" s="40" t="s">
        <v>240</v>
      </c>
      <c r="B67" s="40"/>
      <c r="C67" s="40"/>
      <c r="D67" s="40"/>
    </row>
    <row r="68" customFormat="false" ht="15.75" hidden="false" customHeight="true" outlineLevel="0" collapsed="false">
      <c r="A68" s="41" t="s">
        <v>241</v>
      </c>
      <c r="B68" s="41" t="s">
        <v>242</v>
      </c>
      <c r="C68" s="42" t="s">
        <v>195</v>
      </c>
      <c r="D68" s="41"/>
    </row>
    <row r="69" customFormat="false" ht="15.75" hidden="false" customHeight="true" outlineLevel="0" collapsed="false">
      <c r="A69" s="41" t="s">
        <v>241</v>
      </c>
      <c r="B69" s="41" t="s">
        <v>243</v>
      </c>
      <c r="C69" s="42" t="s">
        <v>197</v>
      </c>
      <c r="D69" s="41"/>
    </row>
    <row r="70" customFormat="false" ht="18.75" hidden="false" customHeight="true" outlineLevel="0" collapsed="false">
      <c r="A70" s="43" t="s">
        <v>244</v>
      </c>
      <c r="B70" s="43"/>
      <c r="C70" s="43"/>
      <c r="D70" s="43"/>
    </row>
    <row r="71" customFormat="false" ht="15.75" hidden="false" customHeight="true" outlineLevel="0" collapsed="false">
      <c r="A71" s="44" t="s">
        <v>114</v>
      </c>
      <c r="B71" s="44" t="s">
        <v>245</v>
      </c>
      <c r="C71" s="45" t="s">
        <v>195</v>
      </c>
      <c r="D71" s="44"/>
    </row>
  </sheetData>
  <mergeCells count="7">
    <mergeCell ref="A1:D1"/>
    <mergeCell ref="A3:D3"/>
    <mergeCell ref="A36:D36"/>
    <mergeCell ref="A53:D53"/>
    <mergeCell ref="A62:D62"/>
    <mergeCell ref="A67:D67"/>
    <mergeCell ref="A70:D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18"/>
    <col collapsed="false" customWidth="true" hidden="false" outlineLevel="0" max="5" min="5" style="9" width="9"/>
    <col collapsed="false" customWidth="true" hidden="false" outlineLevel="0" max="6" min="6" style="9" width="10"/>
    <col collapsed="false" customWidth="true" hidden="false" outlineLevel="0" max="7" min="7" style="9" width="11"/>
    <col collapsed="false" customWidth="true" hidden="false" outlineLevel="0" max="8" min="8" style="9" width="12"/>
  </cols>
  <sheetData>
    <row r="1" customFormat="false" ht="30" hidden="false" customHeight="true" outlineLevel="0" collapsed="false">
      <c r="A1" s="26" t="s">
        <v>246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247</v>
      </c>
      <c r="E2" s="12" t="s">
        <v>248</v>
      </c>
      <c r="F2" s="12" t="s">
        <v>249</v>
      </c>
      <c r="G2" s="12" t="s">
        <v>250</v>
      </c>
      <c r="H2" s="46"/>
    </row>
    <row r="3" customFormat="false" ht="19.5" hidden="false" customHeight="true" outlineLevel="0" collapsed="false">
      <c r="A3" s="27" t="s">
        <v>251</v>
      </c>
      <c r="B3" s="27"/>
      <c r="C3" s="27"/>
      <c r="D3" s="27"/>
      <c r="E3" s="27"/>
      <c r="F3" s="27"/>
      <c r="G3" s="27"/>
      <c r="H3" s="27"/>
    </row>
    <row r="4" customFormat="false" ht="15.75" hidden="false" customHeight="true" outlineLevel="0" collapsed="false">
      <c r="A4" s="47" t="s">
        <v>109</v>
      </c>
      <c r="B4" s="48" t="s">
        <v>127</v>
      </c>
      <c r="C4" s="29" t="s">
        <v>128</v>
      </c>
      <c r="D4" s="49" t="s">
        <v>252</v>
      </c>
      <c r="E4" s="28" t="n">
        <v>1</v>
      </c>
      <c r="F4" s="50" t="str">
        <f aca="false">IF(Master_Results!$D$4="","",IF(D4=Master_Results!$D$4,1,0))</f>
        <v/>
      </c>
      <c r="G4" s="50" t="str">
        <f aca="false">IF(F4="","",E4*F4)</f>
        <v/>
      </c>
    </row>
    <row r="5" customFormat="false" ht="15.75" hidden="false" customHeight="true" outlineLevel="0" collapsed="false">
      <c r="A5" s="47" t="s">
        <v>109</v>
      </c>
      <c r="B5" s="48" t="s">
        <v>129</v>
      </c>
      <c r="C5" s="29" t="s">
        <v>130</v>
      </c>
      <c r="D5" s="49" t="s">
        <v>131</v>
      </c>
      <c r="E5" s="28" t="n">
        <v>1</v>
      </c>
      <c r="F5" s="50" t="n">
        <f aca="false">IF(Master_Results!$D$5="","",IF(D5=Master_Results!$D$5,1,0))</f>
        <v>1</v>
      </c>
      <c r="G5" s="50" t="n">
        <f aca="false">IF(F5="","",E5*F5)</f>
        <v>1</v>
      </c>
    </row>
    <row r="6" customFormat="false" ht="15.75" hidden="false" customHeight="true" outlineLevel="0" collapsed="false">
      <c r="A6" s="47" t="s">
        <v>109</v>
      </c>
      <c r="B6" s="48" t="s">
        <v>132</v>
      </c>
      <c r="C6" s="29" t="s">
        <v>133</v>
      </c>
      <c r="D6" s="49" t="s">
        <v>253</v>
      </c>
      <c r="E6" s="28" t="n">
        <v>1</v>
      </c>
      <c r="F6" s="50" t="str">
        <f aca="false">IF(Master_Results!$D$6="","",IF(D6=Master_Results!$D$6,1,0))</f>
        <v/>
      </c>
      <c r="G6" s="50" t="str">
        <f aca="false">IF(F6="","",E6*F6)</f>
        <v/>
      </c>
    </row>
    <row r="7" customFormat="false" ht="15.75" hidden="false" customHeight="true" outlineLevel="0" collapsed="false">
      <c r="A7" s="47" t="s">
        <v>109</v>
      </c>
      <c r="B7" s="48" t="s">
        <v>134</v>
      </c>
      <c r="C7" s="29" t="s">
        <v>135</v>
      </c>
      <c r="D7" s="49" t="s">
        <v>254</v>
      </c>
      <c r="E7" s="28" t="n">
        <v>1</v>
      </c>
      <c r="F7" s="50" t="str">
        <f aca="false">IF(Master_Results!$D$7="","",IF(D7=Master_Results!$D$7,1,0))</f>
        <v/>
      </c>
      <c r="G7" s="50" t="str">
        <f aca="false">IF(F7="","",E7*F7)</f>
        <v/>
      </c>
    </row>
    <row r="8" customFormat="false" ht="15.75" hidden="false" customHeight="true" outlineLevel="0" collapsed="false">
      <c r="A8" s="47" t="s">
        <v>109</v>
      </c>
      <c r="B8" s="48" t="s">
        <v>136</v>
      </c>
      <c r="C8" s="29" t="s">
        <v>137</v>
      </c>
      <c r="D8" s="49" t="s">
        <v>255</v>
      </c>
      <c r="E8" s="28" t="n">
        <v>1</v>
      </c>
      <c r="F8" s="50" t="str">
        <f aca="false">IF(Master_Results!$D$8="","",IF(D8=Master_Results!$D$8,1,0))</f>
        <v/>
      </c>
      <c r="G8" s="50" t="str">
        <f aca="false">IF(F8="","",E8*F8)</f>
        <v/>
      </c>
    </row>
    <row r="9" customFormat="false" ht="15.75" hidden="false" customHeight="true" outlineLevel="0" collapsed="false">
      <c r="A9" s="47" t="s">
        <v>109</v>
      </c>
      <c r="B9" s="48" t="s">
        <v>138</v>
      </c>
      <c r="C9" s="29" t="s">
        <v>139</v>
      </c>
      <c r="D9" s="49" t="s">
        <v>256</v>
      </c>
      <c r="E9" s="28" t="n">
        <v>1</v>
      </c>
      <c r="F9" s="50" t="str">
        <f aca="false">IF(Master_Results!$D$9="","",IF(D9=Master_Results!$D$9,1,0))</f>
        <v/>
      </c>
      <c r="G9" s="50" t="str">
        <f aca="false">IF(F9="","",E9*F9)</f>
        <v/>
      </c>
    </row>
    <row r="10" customFormat="false" ht="15.75" hidden="false" customHeight="true" outlineLevel="0" collapsed="false">
      <c r="A10" s="47" t="s">
        <v>109</v>
      </c>
      <c r="B10" s="48" t="s">
        <v>140</v>
      </c>
      <c r="C10" s="29" t="s">
        <v>141</v>
      </c>
      <c r="D10" s="49" t="s">
        <v>257</v>
      </c>
      <c r="E10" s="28" t="n">
        <v>1</v>
      </c>
      <c r="F10" s="50" t="str">
        <f aca="false">IF(Master_Results!$D$10="","",IF(D10=Master_Results!$D$10,1,0))</f>
        <v/>
      </c>
      <c r="G10" s="50" t="str">
        <f aca="false">IF(F10="","",E10*F10)</f>
        <v/>
      </c>
    </row>
    <row r="11" customFormat="false" ht="15.75" hidden="false" customHeight="true" outlineLevel="0" collapsed="false">
      <c r="A11" s="47" t="s">
        <v>109</v>
      </c>
      <c r="B11" s="48" t="s">
        <v>142</v>
      </c>
      <c r="C11" s="29" t="s">
        <v>143</v>
      </c>
      <c r="D11" s="49" t="s">
        <v>258</v>
      </c>
      <c r="E11" s="28" t="n">
        <v>1</v>
      </c>
      <c r="F11" s="50" t="str">
        <f aca="false">IF(Master_Results!$D$11="","",IF(D11=Master_Results!$D$11,1,0))</f>
        <v/>
      </c>
      <c r="G11" s="50" t="str">
        <f aca="false">IF(F11="","",E11*F11)</f>
        <v/>
      </c>
    </row>
    <row r="12" customFormat="false" ht="15.75" hidden="false" customHeight="true" outlineLevel="0" collapsed="false">
      <c r="A12" s="47" t="s">
        <v>109</v>
      </c>
      <c r="B12" s="48" t="s">
        <v>144</v>
      </c>
      <c r="C12" s="29" t="s">
        <v>145</v>
      </c>
      <c r="D12" s="49" t="s">
        <v>259</v>
      </c>
      <c r="E12" s="28" t="n">
        <v>1</v>
      </c>
      <c r="F12" s="50" t="str">
        <f aca="false">IF(Master_Results!$D$12="","",IF(D12=Master_Results!$D$12,1,0))</f>
        <v/>
      </c>
      <c r="G12" s="50" t="str">
        <f aca="false">IF(F12="","",E12*F12)</f>
        <v/>
      </c>
    </row>
    <row r="13" customFormat="false" ht="15.75" hidden="false" customHeight="true" outlineLevel="0" collapsed="false">
      <c r="A13" s="47" t="s">
        <v>109</v>
      </c>
      <c r="B13" s="48" t="s">
        <v>146</v>
      </c>
      <c r="C13" s="29" t="s">
        <v>147</v>
      </c>
      <c r="D13" s="49" t="s">
        <v>260</v>
      </c>
      <c r="E13" s="28" t="n">
        <v>1</v>
      </c>
      <c r="F13" s="50" t="str">
        <f aca="false">IF(Master_Results!$D$13="","",IF(D13=Master_Results!$D$13,1,0))</f>
        <v/>
      </c>
      <c r="G13" s="50" t="str">
        <f aca="false">IF(F13="","",E13*F13)</f>
        <v/>
      </c>
    </row>
    <row r="14" customFormat="false" ht="15.75" hidden="false" customHeight="true" outlineLevel="0" collapsed="false">
      <c r="A14" s="47" t="s">
        <v>109</v>
      </c>
      <c r="B14" s="48" t="s">
        <v>148</v>
      </c>
      <c r="C14" s="29" t="s">
        <v>149</v>
      </c>
      <c r="D14" s="49" t="s">
        <v>261</v>
      </c>
      <c r="E14" s="28" t="n">
        <v>1</v>
      </c>
      <c r="F14" s="50" t="str">
        <f aca="false">IF(Master_Results!$D$14="","",IF(D14=Master_Results!$D$14,1,0))</f>
        <v/>
      </c>
      <c r="G14" s="50" t="str">
        <f aca="false">IF(F14="","",E14*F14)</f>
        <v/>
      </c>
    </row>
    <row r="15" customFormat="false" ht="15.75" hidden="false" customHeight="true" outlineLevel="0" collapsed="false">
      <c r="A15" s="47" t="s">
        <v>109</v>
      </c>
      <c r="B15" s="48" t="s">
        <v>150</v>
      </c>
      <c r="C15" s="29" t="s">
        <v>151</v>
      </c>
      <c r="D15" s="49" t="s">
        <v>152</v>
      </c>
      <c r="E15" s="28" t="n">
        <v>1</v>
      </c>
      <c r="F15" s="50" t="n">
        <f aca="false">IF(Master_Results!$D$15="","",IF(D15=Master_Results!$D$15,1,0))</f>
        <v>1</v>
      </c>
      <c r="G15" s="50" t="n">
        <f aca="false">IF(F15="","",E15*F15)</f>
        <v>1</v>
      </c>
    </row>
    <row r="16" customFormat="false" ht="15.75" hidden="false" customHeight="true" outlineLevel="0" collapsed="false">
      <c r="A16" s="47" t="s">
        <v>109</v>
      </c>
      <c r="B16" s="48" t="s">
        <v>153</v>
      </c>
      <c r="C16" s="29" t="s">
        <v>154</v>
      </c>
      <c r="D16" s="49" t="s">
        <v>262</v>
      </c>
      <c r="E16" s="28" t="n">
        <v>1</v>
      </c>
      <c r="F16" s="50" t="str">
        <f aca="false">IF(Master_Results!$D$16="","",IF(D16=Master_Results!$D$16,1,0))</f>
        <v/>
      </c>
      <c r="G16" s="50" t="str">
        <f aca="false">IF(F16="","",E16*F16)</f>
        <v/>
      </c>
    </row>
    <row r="17" customFormat="false" ht="15.75" hidden="false" customHeight="true" outlineLevel="0" collapsed="false">
      <c r="A17" s="47" t="s">
        <v>109</v>
      </c>
      <c r="B17" s="48" t="s">
        <v>155</v>
      </c>
      <c r="C17" s="29" t="s">
        <v>156</v>
      </c>
      <c r="D17" s="49" t="s">
        <v>263</v>
      </c>
      <c r="E17" s="28" t="n">
        <v>1</v>
      </c>
      <c r="F17" s="50" t="str">
        <f aca="false">IF(Master_Results!$D$17="","",IF(D17=Master_Results!$D$17,1,0))</f>
        <v/>
      </c>
      <c r="G17" s="50" t="str">
        <f aca="false">IF(F17="","",E17*F17)</f>
        <v/>
      </c>
    </row>
    <row r="18" customFormat="false" ht="15.75" hidden="false" customHeight="true" outlineLevel="0" collapsed="false">
      <c r="A18" s="47" t="s">
        <v>109</v>
      </c>
      <c r="B18" s="48" t="s">
        <v>157</v>
      </c>
      <c r="C18" s="29" t="s">
        <v>158</v>
      </c>
      <c r="D18" s="49" t="s">
        <v>264</v>
      </c>
      <c r="E18" s="28" t="n">
        <v>1</v>
      </c>
      <c r="F18" s="50" t="str">
        <f aca="false">IF(Master_Results!$D$18="","",IF(D18=Master_Results!$D$18,1,0))</f>
        <v/>
      </c>
      <c r="G18" s="50" t="str">
        <f aca="false">IF(F18="","",E18*F18)</f>
        <v/>
      </c>
    </row>
    <row r="19" customFormat="false" ht="15.75" hidden="false" customHeight="true" outlineLevel="0" collapsed="false">
      <c r="A19" s="47" t="s">
        <v>109</v>
      </c>
      <c r="B19" s="48" t="s">
        <v>159</v>
      </c>
      <c r="C19" s="29" t="s">
        <v>160</v>
      </c>
      <c r="D19" s="49" t="s">
        <v>265</v>
      </c>
      <c r="E19" s="28" t="n">
        <v>1</v>
      </c>
      <c r="F19" s="50" t="str">
        <f aca="false">IF(Master_Results!$D$19="","",IF(D19=Master_Results!$D$19,1,0))</f>
        <v/>
      </c>
      <c r="G19" s="50" t="str">
        <f aca="false">IF(F19="","",E19*F19)</f>
        <v/>
      </c>
    </row>
    <row r="20" customFormat="false" ht="15.75" hidden="false" customHeight="true" outlineLevel="0" collapsed="false">
      <c r="A20" s="47" t="s">
        <v>109</v>
      </c>
      <c r="B20" s="48" t="s">
        <v>161</v>
      </c>
      <c r="C20" s="29" t="s">
        <v>162</v>
      </c>
      <c r="D20" s="49" t="s">
        <v>266</v>
      </c>
      <c r="E20" s="28" t="n">
        <v>1</v>
      </c>
      <c r="F20" s="50" t="str">
        <f aca="false">IF(Master_Results!$D$20="","",IF(D20=Master_Results!$D$20,1,0))</f>
        <v/>
      </c>
      <c r="G20" s="50" t="str">
        <f aca="false">IF(F20="","",E20*F20)</f>
        <v/>
      </c>
    </row>
    <row r="21" customFormat="false" ht="15.75" hidden="false" customHeight="true" outlineLevel="0" collapsed="false">
      <c r="A21" s="47" t="s">
        <v>109</v>
      </c>
      <c r="B21" s="48" t="s">
        <v>163</v>
      </c>
      <c r="C21" s="29" t="s">
        <v>164</v>
      </c>
      <c r="D21" s="49" t="s">
        <v>267</v>
      </c>
      <c r="E21" s="28" t="n">
        <v>1</v>
      </c>
      <c r="F21" s="50" t="str">
        <f aca="false">IF(Master_Results!$D$21="","",IF(D21=Master_Results!$D$21,1,0))</f>
        <v/>
      </c>
      <c r="G21" s="50" t="str">
        <f aca="false">IF(F21="","",E21*F21)</f>
        <v/>
      </c>
    </row>
    <row r="22" customFormat="false" ht="15.75" hidden="false" customHeight="true" outlineLevel="0" collapsed="false">
      <c r="A22" s="47" t="s">
        <v>109</v>
      </c>
      <c r="B22" s="48" t="s">
        <v>165</v>
      </c>
      <c r="C22" s="29" t="s">
        <v>166</v>
      </c>
      <c r="D22" s="49" t="s">
        <v>268</v>
      </c>
      <c r="E22" s="28" t="n">
        <v>1</v>
      </c>
      <c r="F22" s="50" t="str">
        <f aca="false">IF(Master_Results!$D$22="","",IF(D22=Master_Results!$D$22,1,0))</f>
        <v/>
      </c>
      <c r="G22" s="50" t="str">
        <f aca="false">IF(F22="","",E22*F22)</f>
        <v/>
      </c>
    </row>
    <row r="23" customFormat="false" ht="15.75" hidden="false" customHeight="true" outlineLevel="0" collapsed="false">
      <c r="A23" s="47" t="s">
        <v>109</v>
      </c>
      <c r="B23" s="48" t="s">
        <v>167</v>
      </c>
      <c r="C23" s="29" t="s">
        <v>168</v>
      </c>
      <c r="D23" s="49" t="s">
        <v>269</v>
      </c>
      <c r="E23" s="28" t="n">
        <v>1</v>
      </c>
      <c r="F23" s="50" t="str">
        <f aca="false">IF(Master_Results!$D$23="","",IF(D23=Master_Results!$D$23,1,0))</f>
        <v/>
      </c>
      <c r="G23" s="50" t="str">
        <f aca="false">IF(F23="","",E23*F23)</f>
        <v/>
      </c>
    </row>
    <row r="24" customFormat="false" ht="15.75" hidden="false" customHeight="true" outlineLevel="0" collapsed="false">
      <c r="A24" s="47" t="s">
        <v>109</v>
      </c>
      <c r="B24" s="48" t="s">
        <v>169</v>
      </c>
      <c r="C24" s="29" t="s">
        <v>170</v>
      </c>
      <c r="D24" s="49" t="s">
        <v>270</v>
      </c>
      <c r="E24" s="28" t="n">
        <v>1</v>
      </c>
      <c r="F24" s="50" t="str">
        <f aca="false">IF(Master_Results!$D$24="","",IF(D24=Master_Results!$D$24,1,0))</f>
        <v/>
      </c>
      <c r="G24" s="50" t="str">
        <f aca="false">IF(F24="","",E24*F24)</f>
        <v/>
      </c>
    </row>
    <row r="25" customFormat="false" ht="15.75" hidden="false" customHeight="true" outlineLevel="0" collapsed="false">
      <c r="A25" s="47" t="s">
        <v>109</v>
      </c>
      <c r="B25" s="48" t="s">
        <v>171</v>
      </c>
      <c r="C25" s="29" t="s">
        <v>172</v>
      </c>
      <c r="D25" s="49" t="s">
        <v>271</v>
      </c>
      <c r="E25" s="28" t="n">
        <v>1</v>
      </c>
      <c r="F25" s="50" t="str">
        <f aca="false">IF(Master_Results!$D$25="","",IF(D25=Master_Results!$D$25,1,0))</f>
        <v/>
      </c>
      <c r="G25" s="50" t="str">
        <f aca="false">IF(F25="","",E25*F25)</f>
        <v/>
      </c>
    </row>
    <row r="26" customFormat="false" ht="15.75" hidden="false" customHeight="true" outlineLevel="0" collapsed="false">
      <c r="A26" s="47" t="s">
        <v>109</v>
      </c>
      <c r="B26" s="48" t="s">
        <v>173</v>
      </c>
      <c r="C26" s="29" t="s">
        <v>174</v>
      </c>
      <c r="D26" s="49" t="s">
        <v>272</v>
      </c>
      <c r="E26" s="28" t="n">
        <v>1</v>
      </c>
      <c r="F26" s="50" t="str">
        <f aca="false">IF(Master_Results!$D$26="","",IF(D26=Master_Results!$D$26,1,0))</f>
        <v/>
      </c>
      <c r="G26" s="50" t="str">
        <f aca="false">IF(F26="","",E26*F26)</f>
        <v/>
      </c>
    </row>
    <row r="27" customFormat="false" ht="15.75" hidden="false" customHeight="true" outlineLevel="0" collapsed="false">
      <c r="A27" s="47" t="s">
        <v>109</v>
      </c>
      <c r="B27" s="48" t="s">
        <v>175</v>
      </c>
      <c r="C27" s="29" t="s">
        <v>176</v>
      </c>
      <c r="D27" s="49" t="s">
        <v>273</v>
      </c>
      <c r="E27" s="28" t="n">
        <v>1</v>
      </c>
      <c r="F27" s="50" t="str">
        <f aca="false">IF(Master_Results!$D$27="","",IF(D27=Master_Results!$D$27,1,0))</f>
        <v/>
      </c>
      <c r="G27" s="50" t="str">
        <f aca="false">IF(F27="","",E27*F27)</f>
        <v/>
      </c>
    </row>
    <row r="28" customFormat="false" ht="15.75" hidden="false" customHeight="true" outlineLevel="0" collapsed="false">
      <c r="A28" s="47" t="s">
        <v>109</v>
      </c>
      <c r="B28" s="48" t="s">
        <v>177</v>
      </c>
      <c r="C28" s="29" t="s">
        <v>178</v>
      </c>
      <c r="D28" s="49" t="s">
        <v>274</v>
      </c>
      <c r="E28" s="28" t="n">
        <v>1</v>
      </c>
      <c r="F28" s="50" t="str">
        <f aca="false">IF(Master_Results!$D$28="","",IF(D28=Master_Results!$D$28,1,0))</f>
        <v/>
      </c>
      <c r="G28" s="50" t="str">
        <f aca="false">IF(F28="","",E28*F28)</f>
        <v/>
      </c>
    </row>
    <row r="29" customFormat="false" ht="15.75" hidden="false" customHeight="true" outlineLevel="0" collapsed="false">
      <c r="A29" s="47" t="s">
        <v>109</v>
      </c>
      <c r="B29" s="48" t="s">
        <v>179</v>
      </c>
      <c r="C29" s="29" t="s">
        <v>180</v>
      </c>
      <c r="D29" s="49" t="s">
        <v>275</v>
      </c>
      <c r="E29" s="28" t="n">
        <v>1</v>
      </c>
      <c r="F29" s="50" t="str">
        <f aca="false">IF(Master_Results!$D$29="","",IF(D29=Master_Results!$D$29,1,0))</f>
        <v/>
      </c>
      <c r="G29" s="50" t="str">
        <f aca="false">IF(F29="","",E29*F29)</f>
        <v/>
      </c>
    </row>
    <row r="30" customFormat="false" ht="15.75" hidden="false" customHeight="true" outlineLevel="0" collapsed="false">
      <c r="A30" s="47" t="s">
        <v>109</v>
      </c>
      <c r="B30" s="48" t="s">
        <v>181</v>
      </c>
      <c r="C30" s="29" t="s">
        <v>182</v>
      </c>
      <c r="D30" s="49" t="s">
        <v>276</v>
      </c>
      <c r="E30" s="28" t="n">
        <v>1</v>
      </c>
      <c r="F30" s="50" t="str">
        <f aca="false">IF(Master_Results!$D$30="","",IF(D30=Master_Results!$D$30,1,0))</f>
        <v/>
      </c>
      <c r="G30" s="50" t="str">
        <f aca="false">IF(F30="","",E30*F30)</f>
        <v/>
      </c>
    </row>
    <row r="31" customFormat="false" ht="15.75" hidden="false" customHeight="true" outlineLevel="0" collapsed="false">
      <c r="A31" s="47" t="s">
        <v>109</v>
      </c>
      <c r="B31" s="48" t="s">
        <v>183</v>
      </c>
      <c r="C31" s="29" t="s">
        <v>184</v>
      </c>
      <c r="D31" s="49" t="s">
        <v>277</v>
      </c>
      <c r="E31" s="28" t="n">
        <v>1</v>
      </c>
      <c r="F31" s="50" t="str">
        <f aca="false">IF(Master_Results!$D$31="","",IF(D31=Master_Results!$D$31,1,0))</f>
        <v/>
      </c>
      <c r="G31" s="50" t="str">
        <f aca="false">IF(F31="","",E31*F31)</f>
        <v/>
      </c>
    </row>
    <row r="32" customFormat="false" ht="15.75" hidden="false" customHeight="true" outlineLevel="0" collapsed="false">
      <c r="A32" s="47" t="s">
        <v>109</v>
      </c>
      <c r="B32" s="48" t="s">
        <v>185</v>
      </c>
      <c r="C32" s="29" t="s">
        <v>186</v>
      </c>
      <c r="D32" s="49" t="s">
        <v>278</v>
      </c>
      <c r="E32" s="28" t="n">
        <v>1</v>
      </c>
      <c r="F32" s="50" t="str">
        <f aca="false">IF(Master_Results!$D$32="","",IF(D32=Master_Results!$D$32,1,0))</f>
        <v/>
      </c>
      <c r="G32" s="50" t="str">
        <f aca="false">IF(F32="","",E32*F32)</f>
        <v/>
      </c>
    </row>
    <row r="33" customFormat="false" ht="15.75" hidden="false" customHeight="true" outlineLevel="0" collapsed="false">
      <c r="A33" s="47" t="s">
        <v>109</v>
      </c>
      <c r="B33" s="48" t="s">
        <v>187</v>
      </c>
      <c r="C33" s="29" t="s">
        <v>188</v>
      </c>
      <c r="D33" s="49" t="s">
        <v>279</v>
      </c>
      <c r="E33" s="28" t="n">
        <v>1</v>
      </c>
      <c r="F33" s="50" t="str">
        <f aca="false">IF(Master_Results!$D$33="","",IF(D33=Master_Results!$D$33,1,0))</f>
        <v/>
      </c>
      <c r="G33" s="50" t="str">
        <f aca="false">IF(F33="","",E33*F33)</f>
        <v/>
      </c>
    </row>
    <row r="34" customFormat="false" ht="15.75" hidden="false" customHeight="true" outlineLevel="0" collapsed="false">
      <c r="A34" s="47" t="s">
        <v>109</v>
      </c>
      <c r="B34" s="48" t="s">
        <v>189</v>
      </c>
      <c r="C34" s="29" t="s">
        <v>190</v>
      </c>
      <c r="D34" s="49" t="s">
        <v>280</v>
      </c>
      <c r="E34" s="28" t="n">
        <v>1</v>
      </c>
      <c r="F34" s="50" t="str">
        <f aca="false">IF(Master_Results!$D$34="","",IF(D34=Master_Results!$D$34,1,0))</f>
        <v/>
      </c>
      <c r="G34" s="50" t="str">
        <f aca="false">IF(F34="","",E34*F34)</f>
        <v/>
      </c>
    </row>
    <row r="35" customFormat="false" ht="15.75" hidden="false" customHeight="true" outlineLevel="0" collapsed="false">
      <c r="A35" s="47" t="s">
        <v>109</v>
      </c>
      <c r="B35" s="48" t="s">
        <v>191</v>
      </c>
      <c r="C35" s="29" t="s">
        <v>192</v>
      </c>
      <c r="D35" s="49" t="s">
        <v>281</v>
      </c>
      <c r="E35" s="28" t="n">
        <v>1</v>
      </c>
      <c r="F35" s="50" t="str">
        <f aca="false">IF(Master_Results!$D$35="","",IF(D35=Master_Results!$D$35,1,0))</f>
        <v/>
      </c>
      <c r="G35" s="50" t="str">
        <f aca="false">IF(F35="","",E35*F35)</f>
        <v/>
      </c>
    </row>
    <row r="36" customFormat="false" ht="19.5" hidden="false" customHeight="true" outlineLevel="0" collapsed="false">
      <c r="A36" s="31" t="s">
        <v>282</v>
      </c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>
      <c r="A37" s="51" t="s">
        <v>110</v>
      </c>
      <c r="B37" s="52" t="s">
        <v>194</v>
      </c>
      <c r="C37" s="33" t="s">
        <v>195</v>
      </c>
      <c r="D37" s="53" t="s">
        <v>252</v>
      </c>
      <c r="E37" s="32" t="n">
        <v>2</v>
      </c>
      <c r="F37" s="54" t="str">
        <f aca="false">IF(Master_Results!$D$37="","",IF(D37=Master_Results!$D$37,1,0))</f>
        <v/>
      </c>
      <c r="G37" s="54" t="str">
        <f aca="false">IF(F37="","",E37*F37)</f>
        <v/>
      </c>
    </row>
    <row r="38" customFormat="false" ht="15.75" hidden="false" customHeight="true" outlineLevel="0" collapsed="false">
      <c r="A38" s="51" t="s">
        <v>110</v>
      </c>
      <c r="B38" s="52" t="s">
        <v>196</v>
      </c>
      <c r="C38" s="33" t="s">
        <v>197</v>
      </c>
      <c r="D38" s="53" t="s">
        <v>253</v>
      </c>
      <c r="E38" s="32" t="n">
        <v>2</v>
      </c>
      <c r="F38" s="54" t="str">
        <f aca="false">IF(Master_Results!$D$38="","",IF(D38=Master_Results!$D$38,1,0))</f>
        <v/>
      </c>
      <c r="G38" s="54" t="str">
        <f aca="false">IF(F38="","",E38*F38)</f>
        <v/>
      </c>
    </row>
    <row r="39" customFormat="false" ht="15.75" hidden="false" customHeight="true" outlineLevel="0" collapsed="false">
      <c r="A39" s="51" t="s">
        <v>110</v>
      </c>
      <c r="B39" s="52" t="s">
        <v>198</v>
      </c>
      <c r="C39" s="33" t="s">
        <v>199</v>
      </c>
      <c r="D39" s="53" t="s">
        <v>256</v>
      </c>
      <c r="E39" s="32" t="n">
        <v>2</v>
      </c>
      <c r="F39" s="54" t="str">
        <f aca="false">IF(Master_Results!$D$39="","",IF(D39=Master_Results!$D$39,1,0))</f>
        <v/>
      </c>
      <c r="G39" s="54" t="str">
        <f aca="false">IF(F39="","",E39*F39)</f>
        <v/>
      </c>
    </row>
    <row r="40" customFormat="false" ht="15.75" hidden="false" customHeight="true" outlineLevel="0" collapsed="false">
      <c r="A40" s="51" t="s">
        <v>110</v>
      </c>
      <c r="B40" s="52" t="s">
        <v>200</v>
      </c>
      <c r="C40" s="33" t="s">
        <v>201</v>
      </c>
      <c r="D40" s="53" t="s">
        <v>257</v>
      </c>
      <c r="E40" s="32" t="n">
        <v>2</v>
      </c>
      <c r="F40" s="54" t="str">
        <f aca="false">IF(Master_Results!$D$40="","",IF(D40=Master_Results!$D$40,1,0))</f>
        <v/>
      </c>
      <c r="G40" s="54" t="str">
        <f aca="false">IF(F40="","",E40*F40)</f>
        <v/>
      </c>
    </row>
    <row r="41" customFormat="false" ht="15.75" hidden="false" customHeight="true" outlineLevel="0" collapsed="false">
      <c r="A41" s="51" t="s">
        <v>110</v>
      </c>
      <c r="B41" s="52" t="s">
        <v>202</v>
      </c>
      <c r="C41" s="33" t="s">
        <v>203</v>
      </c>
      <c r="D41" s="53" t="s">
        <v>259</v>
      </c>
      <c r="E41" s="32" t="n">
        <v>2</v>
      </c>
      <c r="F41" s="54" t="str">
        <f aca="false">IF(Master_Results!$D$41="","",IF(D41=Master_Results!$D$41,1,0))</f>
        <v/>
      </c>
      <c r="G41" s="54" t="str">
        <f aca="false">IF(F41="","",E41*F41)</f>
        <v/>
      </c>
    </row>
    <row r="42" customFormat="false" ht="15.75" hidden="false" customHeight="true" outlineLevel="0" collapsed="false">
      <c r="A42" s="51" t="s">
        <v>110</v>
      </c>
      <c r="B42" s="52" t="s">
        <v>204</v>
      </c>
      <c r="C42" s="33" t="s">
        <v>205</v>
      </c>
      <c r="D42" s="53" t="s">
        <v>261</v>
      </c>
      <c r="E42" s="32" t="n">
        <v>2</v>
      </c>
      <c r="F42" s="54" t="str">
        <f aca="false">IF(Master_Results!$D$42="","",IF(D42=Master_Results!$D$42,1,0))</f>
        <v/>
      </c>
      <c r="G42" s="54" t="str">
        <f aca="false">IF(F42="","",E42*F42)</f>
        <v/>
      </c>
    </row>
    <row r="43" customFormat="false" ht="15.75" hidden="false" customHeight="true" outlineLevel="0" collapsed="false">
      <c r="A43" s="51" t="s">
        <v>110</v>
      </c>
      <c r="B43" s="52" t="s">
        <v>206</v>
      </c>
      <c r="C43" s="33" t="s">
        <v>207</v>
      </c>
      <c r="D43" s="53" t="s">
        <v>262</v>
      </c>
      <c r="E43" s="32" t="n">
        <v>2</v>
      </c>
      <c r="F43" s="54" t="str">
        <f aca="false">IF(Master_Results!$D$43="","",IF(D43=Master_Results!$D$43,1,0))</f>
        <v/>
      </c>
      <c r="G43" s="54" t="str">
        <f aca="false">IF(F43="","",E43*F43)</f>
        <v/>
      </c>
    </row>
    <row r="44" customFormat="false" ht="15.75" hidden="false" customHeight="true" outlineLevel="0" collapsed="false">
      <c r="A44" s="51" t="s">
        <v>110</v>
      </c>
      <c r="B44" s="52" t="s">
        <v>208</v>
      </c>
      <c r="C44" s="33" t="s">
        <v>209</v>
      </c>
      <c r="D44" s="53" t="s">
        <v>265</v>
      </c>
      <c r="E44" s="32" t="n">
        <v>2</v>
      </c>
      <c r="F44" s="54" t="str">
        <f aca="false">IF(Master_Results!$D$44="","",IF(D44=Master_Results!$D$44,1,0))</f>
        <v/>
      </c>
      <c r="G44" s="54" t="str">
        <f aca="false">IF(F44="","",E44*F44)</f>
        <v/>
      </c>
    </row>
    <row r="45" customFormat="false" ht="15.75" hidden="false" customHeight="true" outlineLevel="0" collapsed="false">
      <c r="A45" s="51" t="s">
        <v>110</v>
      </c>
      <c r="B45" s="52" t="s">
        <v>210</v>
      </c>
      <c r="C45" s="33" t="s">
        <v>211</v>
      </c>
      <c r="D45" s="53" t="s">
        <v>266</v>
      </c>
      <c r="E45" s="32" t="n">
        <v>2</v>
      </c>
      <c r="F45" s="54" t="str">
        <f aca="false">IF(Master_Results!$D$45="","",IF(D45=Master_Results!$D$45,1,0))</f>
        <v/>
      </c>
      <c r="G45" s="54" t="str">
        <f aca="false">IF(F45="","",E45*F45)</f>
        <v/>
      </c>
    </row>
    <row r="46" customFormat="false" ht="15.75" hidden="false" customHeight="true" outlineLevel="0" collapsed="false">
      <c r="A46" s="51" t="s">
        <v>110</v>
      </c>
      <c r="B46" s="52" t="s">
        <v>212</v>
      </c>
      <c r="C46" s="33" t="s">
        <v>213</v>
      </c>
      <c r="D46" s="53" t="s">
        <v>269</v>
      </c>
      <c r="E46" s="32" t="n">
        <v>2</v>
      </c>
      <c r="F46" s="54" t="str">
        <f aca="false">IF(Master_Results!$D$46="","",IF(D46=Master_Results!$D$46,1,0))</f>
        <v/>
      </c>
      <c r="G46" s="54" t="str">
        <f aca="false">IF(F46="","",E46*F46)</f>
        <v/>
      </c>
    </row>
    <row r="47" customFormat="false" ht="15.75" hidden="false" customHeight="true" outlineLevel="0" collapsed="false">
      <c r="A47" s="51" t="s">
        <v>110</v>
      </c>
      <c r="B47" s="52" t="s">
        <v>214</v>
      </c>
      <c r="C47" s="33" t="s">
        <v>215</v>
      </c>
      <c r="D47" s="53" t="s">
        <v>271</v>
      </c>
      <c r="E47" s="32" t="n">
        <v>2</v>
      </c>
      <c r="F47" s="54" t="str">
        <f aca="false">IF(Master_Results!$D$47="","",IF(D47=Master_Results!$D$47,1,0))</f>
        <v/>
      </c>
      <c r="G47" s="54" t="str">
        <f aca="false">IF(F47="","",E47*F47)</f>
        <v/>
      </c>
    </row>
    <row r="48" customFormat="false" ht="15.75" hidden="false" customHeight="true" outlineLevel="0" collapsed="false">
      <c r="A48" s="51" t="s">
        <v>110</v>
      </c>
      <c r="B48" s="52" t="s">
        <v>216</v>
      </c>
      <c r="C48" s="33" t="s">
        <v>217</v>
      </c>
      <c r="D48" s="53" t="s">
        <v>273</v>
      </c>
      <c r="E48" s="32" t="n">
        <v>2</v>
      </c>
      <c r="F48" s="54" t="str">
        <f aca="false">IF(Master_Results!$D$48="","",IF(D48=Master_Results!$D$48,1,0))</f>
        <v/>
      </c>
      <c r="G48" s="54" t="str">
        <f aca="false">IF(F48="","",E48*F48)</f>
        <v/>
      </c>
    </row>
    <row r="49" customFormat="false" ht="15.75" hidden="false" customHeight="true" outlineLevel="0" collapsed="false">
      <c r="A49" s="51" t="s">
        <v>110</v>
      </c>
      <c r="B49" s="52" t="s">
        <v>218</v>
      </c>
      <c r="C49" s="33" t="s">
        <v>219</v>
      </c>
      <c r="D49" s="53" t="s">
        <v>274</v>
      </c>
      <c r="E49" s="32" t="n">
        <v>2</v>
      </c>
      <c r="F49" s="54" t="str">
        <f aca="false">IF(Master_Results!$D$49="","",IF(D49=Master_Results!$D$49,1,0))</f>
        <v/>
      </c>
      <c r="G49" s="54" t="str">
        <f aca="false">IF(F49="","",E49*F49)</f>
        <v/>
      </c>
    </row>
    <row r="50" customFormat="false" ht="15.75" hidden="false" customHeight="true" outlineLevel="0" collapsed="false">
      <c r="A50" s="51" t="s">
        <v>110</v>
      </c>
      <c r="B50" s="52" t="s">
        <v>220</v>
      </c>
      <c r="C50" s="33" t="s">
        <v>221</v>
      </c>
      <c r="D50" s="53" t="s">
        <v>276</v>
      </c>
      <c r="E50" s="32" t="n">
        <v>2</v>
      </c>
      <c r="F50" s="54" t="str">
        <f aca="false">IF(Master_Results!$D$50="","",IF(D50=Master_Results!$D$50,1,0))</f>
        <v/>
      </c>
      <c r="G50" s="54" t="str">
        <f aca="false">IF(F50="","",E50*F50)</f>
        <v/>
      </c>
    </row>
    <row r="51" customFormat="false" ht="15.75" hidden="false" customHeight="true" outlineLevel="0" collapsed="false">
      <c r="A51" s="51" t="s">
        <v>110</v>
      </c>
      <c r="B51" s="52" t="s">
        <v>222</v>
      </c>
      <c r="C51" s="33" t="s">
        <v>223</v>
      </c>
      <c r="D51" s="53" t="s">
        <v>279</v>
      </c>
      <c r="E51" s="32" t="n">
        <v>2</v>
      </c>
      <c r="F51" s="54" t="str">
        <f aca="false">IF(Master_Results!$D$51="","",IF(D51=Master_Results!$D$51,1,0))</f>
        <v/>
      </c>
      <c r="G51" s="54" t="str">
        <f aca="false">IF(F51="","",E51*F51)</f>
        <v/>
      </c>
    </row>
    <row r="52" customFormat="false" ht="15.75" hidden="false" customHeight="true" outlineLevel="0" collapsed="false">
      <c r="A52" s="51" t="s">
        <v>110</v>
      </c>
      <c r="B52" s="52" t="s">
        <v>224</v>
      </c>
      <c r="C52" s="33" t="s">
        <v>225</v>
      </c>
      <c r="D52" s="53" t="s">
        <v>283</v>
      </c>
      <c r="E52" s="32" t="n">
        <v>2</v>
      </c>
      <c r="F52" s="54" t="str">
        <f aca="false">IF(Master_Results!$D$52="","",IF(D52=Master_Results!$D$52,1,0))</f>
        <v/>
      </c>
      <c r="G52" s="54" t="str">
        <f aca="false">IF(F52="","",E52*F52)</f>
        <v/>
      </c>
    </row>
    <row r="53" customFormat="false" ht="19.5" hidden="false" customHeight="true" outlineLevel="0" collapsed="false">
      <c r="A53" s="34" t="s">
        <v>284</v>
      </c>
      <c r="B53" s="34"/>
      <c r="C53" s="34"/>
      <c r="D53" s="34"/>
      <c r="E53" s="34"/>
      <c r="F53" s="34"/>
      <c r="G53" s="34"/>
      <c r="H53" s="34"/>
    </row>
    <row r="54" customFormat="false" ht="15.75" hidden="false" customHeight="true" outlineLevel="0" collapsed="false">
      <c r="A54" s="55" t="s">
        <v>111</v>
      </c>
      <c r="B54" s="56" t="s">
        <v>227</v>
      </c>
      <c r="C54" s="36" t="s">
        <v>195</v>
      </c>
      <c r="D54" s="57" t="s">
        <v>252</v>
      </c>
      <c r="E54" s="35" t="n">
        <v>4</v>
      </c>
      <c r="F54" s="58" t="str">
        <f aca="false">IF(Master_Results!$D$54="","",IF(D54=Master_Results!$D$54,1,0))</f>
        <v/>
      </c>
      <c r="G54" s="58" t="str">
        <f aca="false">IF(F54="","",E54*F54)</f>
        <v/>
      </c>
    </row>
    <row r="55" customFormat="false" ht="15.75" hidden="false" customHeight="true" outlineLevel="0" collapsed="false">
      <c r="A55" s="55" t="s">
        <v>111</v>
      </c>
      <c r="B55" s="56" t="s">
        <v>228</v>
      </c>
      <c r="C55" s="36" t="s">
        <v>197</v>
      </c>
      <c r="D55" s="57" t="s">
        <v>257</v>
      </c>
      <c r="E55" s="35" t="n">
        <v>4</v>
      </c>
      <c r="F55" s="58" t="str">
        <f aca="false">IF(Master_Results!$D$55="","",IF(D55=Master_Results!$D$55,1,0))</f>
        <v/>
      </c>
      <c r="G55" s="58" t="str">
        <f aca="false">IF(F55="","",E55*F55)</f>
        <v/>
      </c>
    </row>
    <row r="56" customFormat="false" ht="15.75" hidden="false" customHeight="true" outlineLevel="0" collapsed="false">
      <c r="A56" s="55" t="s">
        <v>111</v>
      </c>
      <c r="B56" s="56" t="s">
        <v>229</v>
      </c>
      <c r="C56" s="36" t="s">
        <v>199</v>
      </c>
      <c r="D56" s="57" t="s">
        <v>261</v>
      </c>
      <c r="E56" s="35" t="n">
        <v>4</v>
      </c>
      <c r="F56" s="58" t="str">
        <f aca="false">IF(Master_Results!$D$56="","",IF(D56=Master_Results!$D$56,1,0))</f>
        <v/>
      </c>
      <c r="G56" s="58" t="str">
        <f aca="false">IF(F56="","",E56*F56)</f>
        <v/>
      </c>
    </row>
    <row r="57" customFormat="false" ht="15.75" hidden="false" customHeight="true" outlineLevel="0" collapsed="false">
      <c r="A57" s="55" t="s">
        <v>111</v>
      </c>
      <c r="B57" s="56" t="s">
        <v>230</v>
      </c>
      <c r="C57" s="36" t="s">
        <v>201</v>
      </c>
      <c r="D57" s="57" t="s">
        <v>265</v>
      </c>
      <c r="E57" s="35" t="n">
        <v>4</v>
      </c>
      <c r="F57" s="58" t="str">
        <f aca="false">IF(Master_Results!$D$57="","",IF(D57=Master_Results!$D$57,1,0))</f>
        <v/>
      </c>
      <c r="G57" s="58" t="str">
        <f aca="false">IF(F57="","",E57*F57)</f>
        <v/>
      </c>
    </row>
    <row r="58" customFormat="false" ht="15.75" hidden="false" customHeight="true" outlineLevel="0" collapsed="false">
      <c r="A58" s="55" t="s">
        <v>111</v>
      </c>
      <c r="B58" s="56" t="s">
        <v>231</v>
      </c>
      <c r="C58" s="36" t="s">
        <v>203</v>
      </c>
      <c r="D58" s="57" t="s">
        <v>266</v>
      </c>
      <c r="E58" s="35" t="n">
        <v>4</v>
      </c>
      <c r="F58" s="58" t="str">
        <f aca="false">IF(Master_Results!$D$58="","",IF(D58=Master_Results!$D$58,1,0))</f>
        <v/>
      </c>
      <c r="G58" s="58" t="str">
        <f aca="false">IF(F58="","",E58*F58)</f>
        <v/>
      </c>
    </row>
    <row r="59" customFormat="false" ht="15.75" hidden="false" customHeight="true" outlineLevel="0" collapsed="false">
      <c r="A59" s="55" t="s">
        <v>111</v>
      </c>
      <c r="B59" s="56" t="s">
        <v>232</v>
      </c>
      <c r="C59" s="36" t="s">
        <v>205</v>
      </c>
      <c r="D59" s="57" t="s">
        <v>273</v>
      </c>
      <c r="E59" s="35" t="n">
        <v>4</v>
      </c>
      <c r="F59" s="58" t="str">
        <f aca="false">IF(Master_Results!$D$59="","",IF(D59=Master_Results!$D$59,1,0))</f>
        <v/>
      </c>
      <c r="G59" s="58" t="str">
        <f aca="false">IF(F59="","",E59*F59)</f>
        <v/>
      </c>
    </row>
    <row r="60" customFormat="false" ht="15.75" hidden="false" customHeight="true" outlineLevel="0" collapsed="false">
      <c r="A60" s="55" t="s">
        <v>111</v>
      </c>
      <c r="B60" s="56" t="s">
        <v>233</v>
      </c>
      <c r="C60" s="36" t="s">
        <v>207</v>
      </c>
      <c r="D60" s="57" t="s">
        <v>274</v>
      </c>
      <c r="E60" s="35" t="n">
        <v>4</v>
      </c>
      <c r="F60" s="58" t="str">
        <f aca="false">IF(Master_Results!$D$60="","",IF(D60=Master_Results!$D$60,1,0))</f>
        <v/>
      </c>
      <c r="G60" s="58" t="str">
        <f aca="false">IF(F60="","",E60*F60)</f>
        <v/>
      </c>
    </row>
    <row r="61" customFormat="false" ht="15.75" hidden="false" customHeight="true" outlineLevel="0" collapsed="false">
      <c r="A61" s="55" t="s">
        <v>111</v>
      </c>
      <c r="B61" s="56" t="s">
        <v>234</v>
      </c>
      <c r="C61" s="36" t="s">
        <v>209</v>
      </c>
      <c r="D61" s="57" t="s">
        <v>283</v>
      </c>
      <c r="E61" s="35" t="n">
        <v>4</v>
      </c>
      <c r="F61" s="58" t="str">
        <f aca="false">IF(Master_Results!$D$61="","",IF(D61=Master_Results!$D$61,1,0))</f>
        <v/>
      </c>
      <c r="G61" s="58" t="str">
        <f aca="false">IF(F61="","",E61*F61)</f>
        <v/>
      </c>
    </row>
    <row r="62" customFormat="false" ht="19.5" hidden="false" customHeight="true" outlineLevel="0" collapsed="false">
      <c r="A62" s="37" t="s">
        <v>285</v>
      </c>
      <c r="B62" s="37"/>
      <c r="C62" s="37"/>
      <c r="D62" s="37"/>
      <c r="E62" s="37"/>
      <c r="F62" s="37"/>
      <c r="G62" s="37"/>
      <c r="H62" s="37"/>
    </row>
    <row r="63" customFormat="false" ht="15.75" hidden="false" customHeight="true" outlineLevel="0" collapsed="false">
      <c r="A63" s="59" t="s">
        <v>112</v>
      </c>
      <c r="B63" s="60" t="s">
        <v>236</v>
      </c>
      <c r="C63" s="39" t="s">
        <v>195</v>
      </c>
      <c r="D63" s="61" t="s">
        <v>252</v>
      </c>
      <c r="E63" s="38" t="n">
        <v>8</v>
      </c>
      <c r="F63" s="62" t="str">
        <f aca="false">IF(Master_Results!$D$63="","",IF(D63=Master_Results!$D$63,1,0))</f>
        <v/>
      </c>
      <c r="G63" s="62" t="str">
        <f aca="false">IF(F63="","",E63*F63)</f>
        <v/>
      </c>
    </row>
    <row r="64" customFormat="false" ht="15.75" hidden="false" customHeight="true" outlineLevel="0" collapsed="false">
      <c r="A64" s="59" t="s">
        <v>112</v>
      </c>
      <c r="B64" s="60" t="s">
        <v>237</v>
      </c>
      <c r="C64" s="39" t="s">
        <v>197</v>
      </c>
      <c r="D64" s="61" t="s">
        <v>265</v>
      </c>
      <c r="E64" s="38" t="n">
        <v>8</v>
      </c>
      <c r="F64" s="62" t="str">
        <f aca="false">IF(Master_Results!$D$64="","",IF(D64=Master_Results!$D$64,1,0))</f>
        <v/>
      </c>
      <c r="G64" s="62" t="str">
        <f aca="false">IF(F64="","",E64*F64)</f>
        <v/>
      </c>
    </row>
    <row r="65" customFormat="false" ht="15.75" hidden="false" customHeight="true" outlineLevel="0" collapsed="false">
      <c r="A65" s="59" t="s">
        <v>112</v>
      </c>
      <c r="B65" s="60" t="s">
        <v>238</v>
      </c>
      <c r="C65" s="39" t="s">
        <v>199</v>
      </c>
      <c r="D65" s="61" t="s">
        <v>266</v>
      </c>
      <c r="E65" s="38" t="n">
        <v>8</v>
      </c>
      <c r="F65" s="62" t="str">
        <f aca="false">IF(Master_Results!$D$65="","",IF(D65=Master_Results!$D$65,1,0))</f>
        <v/>
      </c>
      <c r="G65" s="62" t="str">
        <f aca="false">IF(F65="","",E65*F65)</f>
        <v/>
      </c>
    </row>
    <row r="66" customFormat="false" ht="15.75" hidden="false" customHeight="true" outlineLevel="0" collapsed="false">
      <c r="A66" s="59" t="s">
        <v>112</v>
      </c>
      <c r="B66" s="60" t="s">
        <v>239</v>
      </c>
      <c r="C66" s="39" t="s">
        <v>201</v>
      </c>
      <c r="D66" s="61" t="s">
        <v>283</v>
      </c>
      <c r="E66" s="38" t="n">
        <v>8</v>
      </c>
      <c r="F66" s="62" t="str">
        <f aca="false">IF(Master_Results!$D$66="","",IF(D66=Master_Results!$D$66,1,0))</f>
        <v/>
      </c>
      <c r="G66" s="62" t="str">
        <f aca="false">IF(F66="","",E66*F66)</f>
        <v/>
      </c>
    </row>
    <row r="67" customFormat="false" ht="19.5" hidden="false" customHeight="true" outlineLevel="0" collapsed="false">
      <c r="A67" s="40" t="s">
        <v>286</v>
      </c>
      <c r="B67" s="40"/>
      <c r="C67" s="40"/>
      <c r="D67" s="40"/>
      <c r="E67" s="40"/>
      <c r="F67" s="40"/>
      <c r="G67" s="40"/>
      <c r="H67" s="40"/>
    </row>
    <row r="68" customFormat="false" ht="15.75" hidden="false" customHeight="true" outlineLevel="0" collapsed="false">
      <c r="A68" s="63" t="s">
        <v>241</v>
      </c>
      <c r="B68" s="64" t="s">
        <v>242</v>
      </c>
      <c r="C68" s="42" t="s">
        <v>195</v>
      </c>
      <c r="D68" s="65" t="s">
        <v>252</v>
      </c>
      <c r="E68" s="41" t="n">
        <v>16</v>
      </c>
      <c r="F68" s="66" t="str">
        <f aca="false">IF(Master_Results!$D$68="","",IF(D68=Master_Results!$D$68,1,0))</f>
        <v/>
      </c>
      <c r="G68" s="66" t="str">
        <f aca="false">IF(F68="","",E68*F68)</f>
        <v/>
      </c>
    </row>
    <row r="69" customFormat="false" ht="15.75" hidden="false" customHeight="true" outlineLevel="0" collapsed="false">
      <c r="A69" s="63" t="s">
        <v>241</v>
      </c>
      <c r="B69" s="64" t="s">
        <v>243</v>
      </c>
      <c r="C69" s="42" t="s">
        <v>197</v>
      </c>
      <c r="D69" s="65" t="s">
        <v>283</v>
      </c>
      <c r="E69" s="41" t="n">
        <v>16</v>
      </c>
      <c r="F69" s="66" t="str">
        <f aca="false">IF(Master_Results!$D$69="","",IF(D69=Master_Results!$D$69,1,0))</f>
        <v/>
      </c>
      <c r="G69" s="66" t="str">
        <f aca="false">IF(F69="","",E69*F69)</f>
        <v/>
      </c>
    </row>
    <row r="70" customFormat="false" ht="19.5" hidden="false" customHeight="true" outlineLevel="0" collapsed="false">
      <c r="A70" s="43" t="s">
        <v>287</v>
      </c>
      <c r="B70" s="43"/>
      <c r="C70" s="43"/>
      <c r="D70" s="43"/>
      <c r="E70" s="43"/>
      <c r="F70" s="43"/>
      <c r="G70" s="43"/>
      <c r="H70" s="43"/>
    </row>
    <row r="71" customFormat="false" ht="15.75" hidden="false" customHeight="true" outlineLevel="0" collapsed="false">
      <c r="A71" s="67" t="s">
        <v>114</v>
      </c>
      <c r="B71" s="68" t="s">
        <v>245</v>
      </c>
      <c r="C71" s="45" t="s">
        <v>195</v>
      </c>
      <c r="D71" s="69" t="s">
        <v>252</v>
      </c>
      <c r="E71" s="44" t="n">
        <v>32</v>
      </c>
      <c r="F71" s="70" t="str">
        <f aca="false">IF(Master_Results!$D$71="","",IF(D71=Master_Results!$D$71,1,0))</f>
        <v/>
      </c>
      <c r="G71" s="70" t="str">
        <f aca="false">IF(F71="","",E71*F71)</f>
        <v/>
      </c>
    </row>
    <row r="73" customFormat="false" ht="25.5" hidden="false" customHeight="true" outlineLevel="0" collapsed="false">
      <c r="A73" s="71" t="s">
        <v>288</v>
      </c>
      <c r="B73" s="71"/>
      <c r="C73" s="71"/>
      <c r="D73" s="71"/>
      <c r="E73" s="71"/>
      <c r="F73" s="72" t="s">
        <v>289</v>
      </c>
      <c r="G73" s="73" t="n">
        <f aca="false">SUMIF(F3:F71,1,E3:E71)</f>
        <v>2</v>
      </c>
      <c r="H73" s="74" t="n">
        <f aca="false">SUMIF(F3:F71,"",E3:E71)</f>
        <v>190</v>
      </c>
    </row>
  </sheetData>
  <mergeCells count="8">
    <mergeCell ref="A1:H1"/>
    <mergeCell ref="A3:H3"/>
    <mergeCell ref="A36:H36"/>
    <mergeCell ref="A53:H53"/>
    <mergeCell ref="A62:H62"/>
    <mergeCell ref="A67:H67"/>
    <mergeCell ref="A70:H70"/>
    <mergeCell ref="A73:E73"/>
  </mergeCells>
  <conditionalFormatting sqref="A3:G71">
    <cfRule type="expression" priority="2" aboveAverage="0" equalAverage="0" bottom="0" percent="0" rank="0" text="" dxfId="3">
      <formula>$F3=1</formula>
    </cfRule>
    <cfRule type="expression" priority="3" aboveAverage="0" equalAverage="0" bottom="0" percent="0" rank="0" text="" dxfId="4">
      <formula>$F3=0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18"/>
    <col collapsed="false" customWidth="true" hidden="false" outlineLevel="0" max="5" min="5" style="9" width="9"/>
    <col collapsed="false" customWidth="true" hidden="false" outlineLevel="0" max="6" min="6" style="9" width="10"/>
    <col collapsed="false" customWidth="true" hidden="false" outlineLevel="0" max="7" min="7" style="9" width="11"/>
    <col collapsed="false" customWidth="true" hidden="false" outlineLevel="0" max="8" min="8" style="9" width="12"/>
  </cols>
  <sheetData>
    <row r="1" customFormat="false" ht="30" hidden="false" customHeight="true" outlineLevel="0" collapsed="false">
      <c r="A1" s="26" t="s">
        <v>290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247</v>
      </c>
      <c r="E2" s="12" t="s">
        <v>248</v>
      </c>
      <c r="F2" s="12" t="s">
        <v>249</v>
      </c>
      <c r="G2" s="12" t="s">
        <v>250</v>
      </c>
      <c r="H2" s="46"/>
    </row>
    <row r="3" customFormat="false" ht="19.5" hidden="false" customHeight="true" outlineLevel="0" collapsed="false">
      <c r="A3" s="27" t="s">
        <v>251</v>
      </c>
      <c r="B3" s="27"/>
      <c r="C3" s="27"/>
      <c r="D3" s="27"/>
      <c r="E3" s="27"/>
      <c r="F3" s="27"/>
      <c r="G3" s="27"/>
      <c r="H3" s="27"/>
    </row>
    <row r="4" customFormat="false" ht="15.75" hidden="false" customHeight="true" outlineLevel="0" collapsed="false">
      <c r="A4" s="47" t="s">
        <v>109</v>
      </c>
      <c r="B4" s="48" t="s">
        <v>127</v>
      </c>
      <c r="C4" s="29" t="s">
        <v>128</v>
      </c>
      <c r="D4" s="49" t="s">
        <v>252</v>
      </c>
      <c r="E4" s="28" t="n">
        <v>1</v>
      </c>
      <c r="F4" s="50" t="str">
        <f aca="false">IF(Master_Results!$D$4="","",IF(D4=Master_Results!$D$4,1,0))</f>
        <v/>
      </c>
      <c r="G4" s="50" t="str">
        <f aca="false">IF(F4="","",E4*F4)</f>
        <v/>
      </c>
    </row>
    <row r="5" customFormat="false" ht="15.75" hidden="false" customHeight="true" outlineLevel="0" collapsed="false">
      <c r="A5" s="47" t="s">
        <v>109</v>
      </c>
      <c r="B5" s="48" t="s">
        <v>129</v>
      </c>
      <c r="C5" s="29" t="s">
        <v>130</v>
      </c>
      <c r="D5" s="49" t="s">
        <v>291</v>
      </c>
      <c r="E5" s="28" t="n">
        <v>1</v>
      </c>
      <c r="F5" s="50" t="n">
        <f aca="false">IF(Master_Results!$D$5="","",IF(D5=Master_Results!$D$5,1,0))</f>
        <v>0</v>
      </c>
      <c r="G5" s="50" t="n">
        <f aca="false">IF(F5="","",E5*F5)</f>
        <v>0</v>
      </c>
    </row>
    <row r="6" customFormat="false" ht="15.75" hidden="false" customHeight="true" outlineLevel="0" collapsed="false">
      <c r="A6" s="47" t="s">
        <v>109</v>
      </c>
      <c r="B6" s="48" t="s">
        <v>132</v>
      </c>
      <c r="C6" s="29" t="s">
        <v>133</v>
      </c>
      <c r="D6" s="49" t="s">
        <v>292</v>
      </c>
      <c r="E6" s="28" t="n">
        <v>1</v>
      </c>
      <c r="F6" s="50" t="str">
        <f aca="false">IF(Master_Results!$D$6="","",IF(D6=Master_Results!$D$6,1,0))</f>
        <v/>
      </c>
      <c r="G6" s="50" t="str">
        <f aca="false">IF(F6="","",E6*F6)</f>
        <v/>
      </c>
    </row>
    <row r="7" customFormat="false" ht="15.75" hidden="false" customHeight="true" outlineLevel="0" collapsed="false">
      <c r="A7" s="47" t="s">
        <v>109</v>
      </c>
      <c r="B7" s="48" t="s">
        <v>134</v>
      </c>
      <c r="C7" s="29" t="s">
        <v>135</v>
      </c>
      <c r="D7" s="49" t="s">
        <v>254</v>
      </c>
      <c r="E7" s="28" t="n">
        <v>1</v>
      </c>
      <c r="F7" s="50" t="str">
        <f aca="false">IF(Master_Results!$D$7="","",IF(D7=Master_Results!$D$7,1,0))</f>
        <v/>
      </c>
      <c r="G7" s="50" t="str">
        <f aca="false">IF(F7="","",E7*F7)</f>
        <v/>
      </c>
    </row>
    <row r="8" customFormat="false" ht="15.75" hidden="false" customHeight="true" outlineLevel="0" collapsed="false">
      <c r="A8" s="47" t="s">
        <v>109</v>
      </c>
      <c r="B8" s="48" t="s">
        <v>136</v>
      </c>
      <c r="C8" s="29" t="s">
        <v>137</v>
      </c>
      <c r="D8" s="49" t="s">
        <v>293</v>
      </c>
      <c r="E8" s="28" t="n">
        <v>1</v>
      </c>
      <c r="F8" s="50" t="str">
        <f aca="false">IF(Master_Results!$D$8="","",IF(D8=Master_Results!$D$8,1,0))</f>
        <v/>
      </c>
      <c r="G8" s="50" t="str">
        <f aca="false">IF(F8="","",E8*F8)</f>
        <v/>
      </c>
    </row>
    <row r="9" customFormat="false" ht="15.75" hidden="false" customHeight="true" outlineLevel="0" collapsed="false">
      <c r="A9" s="47" t="s">
        <v>109</v>
      </c>
      <c r="B9" s="48" t="s">
        <v>138</v>
      </c>
      <c r="C9" s="29" t="s">
        <v>139</v>
      </c>
      <c r="D9" s="49" t="s">
        <v>256</v>
      </c>
      <c r="E9" s="28" t="n">
        <v>1</v>
      </c>
      <c r="F9" s="50" t="str">
        <f aca="false">IF(Master_Results!$D$9="","",IF(D9=Master_Results!$D$9,1,0))</f>
        <v/>
      </c>
      <c r="G9" s="50" t="str">
        <f aca="false">IF(F9="","",E9*F9)</f>
        <v/>
      </c>
    </row>
    <row r="10" customFormat="false" ht="15.75" hidden="false" customHeight="true" outlineLevel="0" collapsed="false">
      <c r="A10" s="47" t="s">
        <v>109</v>
      </c>
      <c r="B10" s="48" t="s">
        <v>140</v>
      </c>
      <c r="C10" s="29" t="s">
        <v>141</v>
      </c>
      <c r="D10" s="49" t="s">
        <v>257</v>
      </c>
      <c r="E10" s="28" t="n">
        <v>1</v>
      </c>
      <c r="F10" s="50" t="str">
        <f aca="false">IF(Master_Results!$D$10="","",IF(D10=Master_Results!$D$10,1,0))</f>
        <v/>
      </c>
      <c r="G10" s="50" t="str">
        <f aca="false">IF(F10="","",E10*F10)</f>
        <v/>
      </c>
    </row>
    <row r="11" customFormat="false" ht="15.75" hidden="false" customHeight="true" outlineLevel="0" collapsed="false">
      <c r="A11" s="47" t="s">
        <v>109</v>
      </c>
      <c r="B11" s="48" t="s">
        <v>142</v>
      </c>
      <c r="C11" s="29" t="s">
        <v>143</v>
      </c>
      <c r="D11" s="49" t="s">
        <v>258</v>
      </c>
      <c r="E11" s="28" t="n">
        <v>1</v>
      </c>
      <c r="F11" s="50" t="str">
        <f aca="false">IF(Master_Results!$D$11="","",IF(D11=Master_Results!$D$11,1,0))</f>
        <v/>
      </c>
      <c r="G11" s="50" t="str">
        <f aca="false">IF(F11="","",E11*F11)</f>
        <v/>
      </c>
    </row>
    <row r="12" customFormat="false" ht="15.75" hidden="false" customHeight="true" outlineLevel="0" collapsed="false">
      <c r="A12" s="47" t="s">
        <v>109</v>
      </c>
      <c r="B12" s="48" t="s">
        <v>144</v>
      </c>
      <c r="C12" s="29" t="s">
        <v>145</v>
      </c>
      <c r="D12" s="49" t="s">
        <v>259</v>
      </c>
      <c r="E12" s="28" t="n">
        <v>1</v>
      </c>
      <c r="F12" s="50" t="str">
        <f aca="false">IF(Master_Results!$D$12="","",IF(D12=Master_Results!$D$12,1,0))</f>
        <v/>
      </c>
      <c r="G12" s="50" t="str">
        <f aca="false">IF(F12="","",E12*F12)</f>
        <v/>
      </c>
    </row>
    <row r="13" customFormat="false" ht="15.75" hidden="false" customHeight="true" outlineLevel="0" collapsed="false">
      <c r="A13" s="47" t="s">
        <v>109</v>
      </c>
      <c r="B13" s="48" t="s">
        <v>146</v>
      </c>
      <c r="C13" s="29" t="s">
        <v>147</v>
      </c>
      <c r="D13" s="49" t="s">
        <v>260</v>
      </c>
      <c r="E13" s="28" t="n">
        <v>1</v>
      </c>
      <c r="F13" s="50" t="str">
        <f aca="false">IF(Master_Results!$D$13="","",IF(D13=Master_Results!$D$13,1,0))</f>
        <v/>
      </c>
      <c r="G13" s="50" t="str">
        <f aca="false">IF(F13="","",E13*F13)</f>
        <v/>
      </c>
    </row>
    <row r="14" customFormat="false" ht="15.75" hidden="false" customHeight="true" outlineLevel="0" collapsed="false">
      <c r="A14" s="47" t="s">
        <v>109</v>
      </c>
      <c r="B14" s="48" t="s">
        <v>148</v>
      </c>
      <c r="C14" s="29" t="s">
        <v>149</v>
      </c>
      <c r="D14" s="49" t="s">
        <v>261</v>
      </c>
      <c r="E14" s="28" t="n">
        <v>1</v>
      </c>
      <c r="F14" s="50" t="str">
        <f aca="false">IF(Master_Results!$D$14="","",IF(D14=Master_Results!$D$14,1,0))</f>
        <v/>
      </c>
      <c r="G14" s="50" t="str">
        <f aca="false">IF(F14="","",E14*F14)</f>
        <v/>
      </c>
    </row>
    <row r="15" customFormat="false" ht="15.75" hidden="false" customHeight="true" outlineLevel="0" collapsed="false">
      <c r="A15" s="47" t="s">
        <v>109</v>
      </c>
      <c r="B15" s="48" t="s">
        <v>150</v>
      </c>
      <c r="C15" s="29" t="s">
        <v>151</v>
      </c>
      <c r="D15" s="49" t="s">
        <v>152</v>
      </c>
      <c r="E15" s="28" t="n">
        <v>1</v>
      </c>
      <c r="F15" s="50" t="n">
        <f aca="false">IF(Master_Results!$D$15="","",IF(D15=Master_Results!$D$15,1,0))</f>
        <v>1</v>
      </c>
      <c r="G15" s="50" t="n">
        <f aca="false">IF(F15="","",E15*F15)</f>
        <v>1</v>
      </c>
    </row>
    <row r="16" customFormat="false" ht="15.75" hidden="false" customHeight="true" outlineLevel="0" collapsed="false">
      <c r="A16" s="47" t="s">
        <v>109</v>
      </c>
      <c r="B16" s="48" t="s">
        <v>153</v>
      </c>
      <c r="C16" s="29" t="s">
        <v>154</v>
      </c>
      <c r="D16" s="49" t="s">
        <v>262</v>
      </c>
      <c r="E16" s="28" t="n">
        <v>1</v>
      </c>
      <c r="F16" s="50" t="str">
        <f aca="false">IF(Master_Results!$D$16="","",IF(D16=Master_Results!$D$16,1,0))</f>
        <v/>
      </c>
      <c r="G16" s="50" t="str">
        <f aca="false">IF(F16="","",E16*F16)</f>
        <v/>
      </c>
    </row>
    <row r="17" customFormat="false" ht="15.75" hidden="false" customHeight="true" outlineLevel="0" collapsed="false">
      <c r="A17" s="47" t="s">
        <v>109</v>
      </c>
      <c r="B17" s="48" t="s">
        <v>155</v>
      </c>
      <c r="C17" s="29" t="s">
        <v>156</v>
      </c>
      <c r="D17" s="49" t="s">
        <v>263</v>
      </c>
      <c r="E17" s="28" t="n">
        <v>1</v>
      </c>
      <c r="F17" s="50" t="str">
        <f aca="false">IF(Master_Results!$D$17="","",IF(D17=Master_Results!$D$17,1,0))</f>
        <v/>
      </c>
      <c r="G17" s="50" t="str">
        <f aca="false">IF(F17="","",E17*F17)</f>
        <v/>
      </c>
    </row>
    <row r="18" customFormat="false" ht="15.75" hidden="false" customHeight="true" outlineLevel="0" collapsed="false">
      <c r="A18" s="47" t="s">
        <v>109</v>
      </c>
      <c r="B18" s="48" t="s">
        <v>157</v>
      </c>
      <c r="C18" s="29" t="s">
        <v>158</v>
      </c>
      <c r="D18" s="49" t="s">
        <v>294</v>
      </c>
      <c r="E18" s="28" t="n">
        <v>1</v>
      </c>
      <c r="F18" s="50" t="str">
        <f aca="false">IF(Master_Results!$D$18="","",IF(D18=Master_Results!$D$18,1,0))</f>
        <v/>
      </c>
      <c r="G18" s="50" t="str">
        <f aca="false">IF(F18="","",E18*F18)</f>
        <v/>
      </c>
    </row>
    <row r="19" customFormat="false" ht="15.75" hidden="false" customHeight="true" outlineLevel="0" collapsed="false">
      <c r="A19" s="47" t="s">
        <v>109</v>
      </c>
      <c r="B19" s="48" t="s">
        <v>159</v>
      </c>
      <c r="C19" s="29" t="s">
        <v>160</v>
      </c>
      <c r="D19" s="49" t="s">
        <v>265</v>
      </c>
      <c r="E19" s="28" t="n">
        <v>1</v>
      </c>
      <c r="F19" s="50" t="str">
        <f aca="false">IF(Master_Results!$D$19="","",IF(D19=Master_Results!$D$19,1,0))</f>
        <v/>
      </c>
      <c r="G19" s="50" t="str">
        <f aca="false">IF(F19="","",E19*F19)</f>
        <v/>
      </c>
    </row>
    <row r="20" customFormat="false" ht="15.75" hidden="false" customHeight="true" outlineLevel="0" collapsed="false">
      <c r="A20" s="47" t="s">
        <v>109</v>
      </c>
      <c r="B20" s="48" t="s">
        <v>161</v>
      </c>
      <c r="C20" s="29" t="s">
        <v>162</v>
      </c>
      <c r="D20" s="49" t="s">
        <v>266</v>
      </c>
      <c r="E20" s="28" t="n">
        <v>1</v>
      </c>
      <c r="F20" s="50" t="str">
        <f aca="false">IF(Master_Results!$D$20="","",IF(D20=Master_Results!$D$20,1,0))</f>
        <v/>
      </c>
      <c r="G20" s="50" t="str">
        <f aca="false">IF(F20="","",E20*F20)</f>
        <v/>
      </c>
    </row>
    <row r="21" customFormat="false" ht="15.75" hidden="false" customHeight="true" outlineLevel="0" collapsed="false">
      <c r="A21" s="47" t="s">
        <v>109</v>
      </c>
      <c r="B21" s="48" t="s">
        <v>163</v>
      </c>
      <c r="C21" s="29" t="s">
        <v>164</v>
      </c>
      <c r="D21" s="49" t="s">
        <v>267</v>
      </c>
      <c r="E21" s="28" t="n">
        <v>1</v>
      </c>
      <c r="F21" s="50" t="str">
        <f aca="false">IF(Master_Results!$D$21="","",IF(D21=Master_Results!$D$21,1,0))</f>
        <v/>
      </c>
      <c r="G21" s="50" t="str">
        <f aca="false">IF(F21="","",E21*F21)</f>
        <v/>
      </c>
    </row>
    <row r="22" customFormat="false" ht="15.75" hidden="false" customHeight="true" outlineLevel="0" collapsed="false">
      <c r="A22" s="47" t="s">
        <v>109</v>
      </c>
      <c r="B22" s="48" t="s">
        <v>165</v>
      </c>
      <c r="C22" s="29" t="s">
        <v>166</v>
      </c>
      <c r="D22" s="49" t="s">
        <v>295</v>
      </c>
      <c r="E22" s="28" t="n">
        <v>1</v>
      </c>
      <c r="F22" s="50" t="str">
        <f aca="false">IF(Master_Results!$D$22="","",IF(D22=Master_Results!$D$22,1,0))</f>
        <v/>
      </c>
      <c r="G22" s="50" t="str">
        <f aca="false">IF(F22="","",E22*F22)</f>
        <v/>
      </c>
    </row>
    <row r="23" customFormat="false" ht="15.75" hidden="false" customHeight="true" outlineLevel="0" collapsed="false">
      <c r="A23" s="47" t="s">
        <v>109</v>
      </c>
      <c r="B23" s="48" t="s">
        <v>167</v>
      </c>
      <c r="C23" s="29" t="s">
        <v>168</v>
      </c>
      <c r="D23" s="49" t="s">
        <v>269</v>
      </c>
      <c r="E23" s="28" t="n">
        <v>1</v>
      </c>
      <c r="F23" s="50" t="str">
        <f aca="false">IF(Master_Results!$D$23="","",IF(D23=Master_Results!$D$23,1,0))</f>
        <v/>
      </c>
      <c r="G23" s="50" t="str">
        <f aca="false">IF(F23="","",E23*F23)</f>
        <v/>
      </c>
    </row>
    <row r="24" customFormat="false" ht="15.75" hidden="false" customHeight="true" outlineLevel="0" collapsed="false">
      <c r="A24" s="47" t="s">
        <v>109</v>
      </c>
      <c r="B24" s="48" t="s">
        <v>169</v>
      </c>
      <c r="C24" s="29" t="s">
        <v>170</v>
      </c>
      <c r="D24" s="49" t="s">
        <v>270</v>
      </c>
      <c r="E24" s="28" t="n">
        <v>1</v>
      </c>
      <c r="F24" s="50" t="str">
        <f aca="false">IF(Master_Results!$D$24="","",IF(D24=Master_Results!$D$24,1,0))</f>
        <v/>
      </c>
      <c r="G24" s="50" t="str">
        <f aca="false">IF(F24="","",E24*F24)</f>
        <v/>
      </c>
    </row>
    <row r="25" customFormat="false" ht="15.75" hidden="false" customHeight="true" outlineLevel="0" collapsed="false">
      <c r="A25" s="47" t="s">
        <v>109</v>
      </c>
      <c r="B25" s="48" t="s">
        <v>171</v>
      </c>
      <c r="C25" s="29" t="s">
        <v>172</v>
      </c>
      <c r="D25" s="49" t="s">
        <v>271</v>
      </c>
      <c r="E25" s="28" t="n">
        <v>1</v>
      </c>
      <c r="F25" s="50" t="str">
        <f aca="false">IF(Master_Results!$D$25="","",IF(D25=Master_Results!$D$25,1,0))</f>
        <v/>
      </c>
      <c r="G25" s="50" t="str">
        <f aca="false">IF(F25="","",E25*F25)</f>
        <v/>
      </c>
    </row>
    <row r="26" customFormat="false" ht="15.75" hidden="false" customHeight="true" outlineLevel="0" collapsed="false">
      <c r="A26" s="47" t="s">
        <v>109</v>
      </c>
      <c r="B26" s="48" t="s">
        <v>173</v>
      </c>
      <c r="C26" s="29" t="s">
        <v>174</v>
      </c>
      <c r="D26" s="49" t="s">
        <v>272</v>
      </c>
      <c r="E26" s="28" t="n">
        <v>1</v>
      </c>
      <c r="F26" s="50" t="str">
        <f aca="false">IF(Master_Results!$D$26="","",IF(D26=Master_Results!$D$26,1,0))</f>
        <v/>
      </c>
      <c r="G26" s="50" t="str">
        <f aca="false">IF(F26="","",E26*F26)</f>
        <v/>
      </c>
    </row>
    <row r="27" customFormat="false" ht="15.75" hidden="false" customHeight="true" outlineLevel="0" collapsed="false">
      <c r="A27" s="47" t="s">
        <v>109</v>
      </c>
      <c r="B27" s="48" t="s">
        <v>175</v>
      </c>
      <c r="C27" s="29" t="s">
        <v>176</v>
      </c>
      <c r="D27" s="49" t="s">
        <v>273</v>
      </c>
      <c r="E27" s="28" t="n">
        <v>1</v>
      </c>
      <c r="F27" s="50" t="str">
        <f aca="false">IF(Master_Results!$D$27="","",IF(D27=Master_Results!$D$27,1,0))</f>
        <v/>
      </c>
      <c r="G27" s="50" t="str">
        <f aca="false">IF(F27="","",E27*F27)</f>
        <v/>
      </c>
    </row>
    <row r="28" customFormat="false" ht="15.75" hidden="false" customHeight="true" outlineLevel="0" collapsed="false">
      <c r="A28" s="47" t="s">
        <v>109</v>
      </c>
      <c r="B28" s="48" t="s">
        <v>177</v>
      </c>
      <c r="C28" s="29" t="s">
        <v>178</v>
      </c>
      <c r="D28" s="49" t="s">
        <v>274</v>
      </c>
      <c r="E28" s="28" t="n">
        <v>1</v>
      </c>
      <c r="F28" s="50" t="str">
        <f aca="false">IF(Master_Results!$D$28="","",IF(D28=Master_Results!$D$28,1,0))</f>
        <v/>
      </c>
      <c r="G28" s="50" t="str">
        <f aca="false">IF(F28="","",E28*F28)</f>
        <v/>
      </c>
    </row>
    <row r="29" customFormat="false" ht="15.75" hidden="false" customHeight="true" outlineLevel="0" collapsed="false">
      <c r="A29" s="47" t="s">
        <v>109</v>
      </c>
      <c r="B29" s="48" t="s">
        <v>179</v>
      </c>
      <c r="C29" s="29" t="s">
        <v>180</v>
      </c>
      <c r="D29" s="49" t="s">
        <v>296</v>
      </c>
      <c r="E29" s="28" t="n">
        <v>1</v>
      </c>
      <c r="F29" s="50" t="str">
        <f aca="false">IF(Master_Results!$D$29="","",IF(D29=Master_Results!$D$29,1,0))</f>
        <v/>
      </c>
      <c r="G29" s="50" t="str">
        <f aca="false">IF(F29="","",E29*F29)</f>
        <v/>
      </c>
    </row>
    <row r="30" customFormat="false" ht="15.75" hidden="false" customHeight="true" outlineLevel="0" collapsed="false">
      <c r="A30" s="47" t="s">
        <v>109</v>
      </c>
      <c r="B30" s="48" t="s">
        <v>181</v>
      </c>
      <c r="C30" s="29" t="s">
        <v>182</v>
      </c>
      <c r="D30" s="49" t="s">
        <v>276</v>
      </c>
      <c r="E30" s="28" t="n">
        <v>1</v>
      </c>
      <c r="F30" s="50" t="str">
        <f aca="false">IF(Master_Results!$D$30="","",IF(D30=Master_Results!$D$30,1,0))</f>
        <v/>
      </c>
      <c r="G30" s="50" t="str">
        <f aca="false">IF(F30="","",E30*F30)</f>
        <v/>
      </c>
    </row>
    <row r="31" customFormat="false" ht="15.75" hidden="false" customHeight="true" outlineLevel="0" collapsed="false">
      <c r="A31" s="47" t="s">
        <v>109</v>
      </c>
      <c r="B31" s="48" t="s">
        <v>183</v>
      </c>
      <c r="C31" s="29" t="s">
        <v>184</v>
      </c>
      <c r="D31" s="49" t="s">
        <v>277</v>
      </c>
      <c r="E31" s="28" t="n">
        <v>1</v>
      </c>
      <c r="F31" s="50" t="str">
        <f aca="false">IF(Master_Results!$D$31="","",IF(D31=Master_Results!$D$31,1,0))</f>
        <v/>
      </c>
      <c r="G31" s="50" t="str">
        <f aca="false">IF(F31="","",E31*F31)</f>
        <v/>
      </c>
    </row>
    <row r="32" customFormat="false" ht="15.75" hidden="false" customHeight="true" outlineLevel="0" collapsed="false">
      <c r="A32" s="47" t="s">
        <v>109</v>
      </c>
      <c r="B32" s="48" t="s">
        <v>185</v>
      </c>
      <c r="C32" s="29" t="s">
        <v>186</v>
      </c>
      <c r="D32" s="49" t="s">
        <v>278</v>
      </c>
      <c r="E32" s="28" t="n">
        <v>1</v>
      </c>
      <c r="F32" s="50" t="str">
        <f aca="false">IF(Master_Results!$D$32="","",IF(D32=Master_Results!$D$32,1,0))</f>
        <v/>
      </c>
      <c r="G32" s="50" t="str">
        <f aca="false">IF(F32="","",E32*F32)</f>
        <v/>
      </c>
    </row>
    <row r="33" customFormat="false" ht="15.75" hidden="false" customHeight="true" outlineLevel="0" collapsed="false">
      <c r="A33" s="47" t="s">
        <v>109</v>
      </c>
      <c r="B33" s="48" t="s">
        <v>187</v>
      </c>
      <c r="C33" s="29" t="s">
        <v>188</v>
      </c>
      <c r="D33" s="49" t="s">
        <v>279</v>
      </c>
      <c r="E33" s="28" t="n">
        <v>1</v>
      </c>
      <c r="F33" s="50" t="str">
        <f aca="false">IF(Master_Results!$D$33="","",IF(D33=Master_Results!$D$33,1,0))</f>
        <v/>
      </c>
      <c r="G33" s="50" t="str">
        <f aca="false">IF(F33="","",E33*F33)</f>
        <v/>
      </c>
    </row>
    <row r="34" customFormat="false" ht="15.75" hidden="false" customHeight="true" outlineLevel="0" collapsed="false">
      <c r="A34" s="47" t="s">
        <v>109</v>
      </c>
      <c r="B34" s="48" t="s">
        <v>189</v>
      </c>
      <c r="C34" s="29" t="s">
        <v>190</v>
      </c>
      <c r="D34" s="49" t="s">
        <v>297</v>
      </c>
      <c r="E34" s="28" t="n">
        <v>1</v>
      </c>
      <c r="F34" s="50" t="str">
        <f aca="false">IF(Master_Results!$D$34="","",IF(D34=Master_Results!$D$34,1,0))</f>
        <v/>
      </c>
      <c r="G34" s="50" t="str">
        <f aca="false">IF(F34="","",E34*F34)</f>
        <v/>
      </c>
    </row>
    <row r="35" customFormat="false" ht="15.75" hidden="false" customHeight="true" outlineLevel="0" collapsed="false">
      <c r="A35" s="47" t="s">
        <v>109</v>
      </c>
      <c r="B35" s="48" t="s">
        <v>191</v>
      </c>
      <c r="C35" s="29" t="s">
        <v>192</v>
      </c>
      <c r="D35" s="49" t="s">
        <v>281</v>
      </c>
      <c r="E35" s="28" t="n">
        <v>1</v>
      </c>
      <c r="F35" s="50" t="str">
        <f aca="false">IF(Master_Results!$D$35="","",IF(D35=Master_Results!$D$35,1,0))</f>
        <v/>
      </c>
      <c r="G35" s="50" t="str">
        <f aca="false">IF(F35="","",E35*F35)</f>
        <v/>
      </c>
    </row>
    <row r="36" customFormat="false" ht="19.5" hidden="false" customHeight="true" outlineLevel="0" collapsed="false">
      <c r="A36" s="31" t="s">
        <v>282</v>
      </c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>
      <c r="A37" s="51" t="s">
        <v>110</v>
      </c>
      <c r="B37" s="52" t="s">
        <v>194</v>
      </c>
      <c r="C37" s="33" t="s">
        <v>195</v>
      </c>
      <c r="D37" s="53" t="s">
        <v>252</v>
      </c>
      <c r="E37" s="32" t="n">
        <v>2</v>
      </c>
      <c r="F37" s="54" t="str">
        <f aca="false">IF(Master_Results!$D$37="","",IF(D37=Master_Results!$D$37,1,0))</f>
        <v/>
      </c>
      <c r="G37" s="54" t="str">
        <f aca="false">IF(F37="","",E37*F37)</f>
        <v/>
      </c>
    </row>
    <row r="38" customFormat="false" ht="15.75" hidden="false" customHeight="true" outlineLevel="0" collapsed="false">
      <c r="A38" s="51" t="s">
        <v>110</v>
      </c>
      <c r="B38" s="52" t="s">
        <v>196</v>
      </c>
      <c r="C38" s="33" t="s">
        <v>197</v>
      </c>
      <c r="D38" s="53" t="s">
        <v>254</v>
      </c>
      <c r="E38" s="32" t="n">
        <v>2</v>
      </c>
      <c r="F38" s="54" t="str">
        <f aca="false">IF(Master_Results!$D$38="","",IF(D38=Master_Results!$D$38,1,0))</f>
        <v/>
      </c>
      <c r="G38" s="54" t="str">
        <f aca="false">IF(F38="","",E38*F38)</f>
        <v/>
      </c>
    </row>
    <row r="39" customFormat="false" ht="15.75" hidden="false" customHeight="true" outlineLevel="0" collapsed="false">
      <c r="A39" s="51" t="s">
        <v>110</v>
      </c>
      <c r="B39" s="52" t="s">
        <v>198</v>
      </c>
      <c r="C39" s="33" t="s">
        <v>199</v>
      </c>
      <c r="D39" s="53" t="s">
        <v>256</v>
      </c>
      <c r="E39" s="32" t="n">
        <v>2</v>
      </c>
      <c r="F39" s="54" t="str">
        <f aca="false">IF(Master_Results!$D$39="","",IF(D39=Master_Results!$D$39,1,0))</f>
        <v/>
      </c>
      <c r="G39" s="54" t="str">
        <f aca="false">IF(F39="","",E39*F39)</f>
        <v/>
      </c>
    </row>
    <row r="40" customFormat="false" ht="15.75" hidden="false" customHeight="true" outlineLevel="0" collapsed="false">
      <c r="A40" s="51" t="s">
        <v>110</v>
      </c>
      <c r="B40" s="52" t="s">
        <v>200</v>
      </c>
      <c r="C40" s="33" t="s">
        <v>201</v>
      </c>
      <c r="D40" s="53" t="s">
        <v>258</v>
      </c>
      <c r="E40" s="32" t="n">
        <v>2</v>
      </c>
      <c r="F40" s="54" t="str">
        <f aca="false">IF(Master_Results!$D$40="","",IF(D40=Master_Results!$D$40,1,0))</f>
        <v/>
      </c>
      <c r="G40" s="54" t="str">
        <f aca="false">IF(F40="","",E40*F40)</f>
        <v/>
      </c>
    </row>
    <row r="41" customFormat="false" ht="15.75" hidden="false" customHeight="true" outlineLevel="0" collapsed="false">
      <c r="A41" s="51" t="s">
        <v>110</v>
      </c>
      <c r="B41" s="52" t="s">
        <v>202</v>
      </c>
      <c r="C41" s="33" t="s">
        <v>203</v>
      </c>
      <c r="D41" s="53" t="s">
        <v>259</v>
      </c>
      <c r="E41" s="32" t="n">
        <v>2</v>
      </c>
      <c r="F41" s="54" t="str">
        <f aca="false">IF(Master_Results!$D$41="","",IF(D41=Master_Results!$D$41,1,0))</f>
        <v/>
      </c>
      <c r="G41" s="54" t="str">
        <f aca="false">IF(F41="","",E41*F41)</f>
        <v/>
      </c>
    </row>
    <row r="42" customFormat="false" ht="15.75" hidden="false" customHeight="true" outlineLevel="0" collapsed="false">
      <c r="A42" s="51" t="s">
        <v>110</v>
      </c>
      <c r="B42" s="52" t="s">
        <v>204</v>
      </c>
      <c r="C42" s="33" t="s">
        <v>205</v>
      </c>
      <c r="D42" s="53" t="s">
        <v>261</v>
      </c>
      <c r="E42" s="32" t="n">
        <v>2</v>
      </c>
      <c r="F42" s="54" t="str">
        <f aca="false">IF(Master_Results!$D$42="","",IF(D42=Master_Results!$D$42,1,0))</f>
        <v/>
      </c>
      <c r="G42" s="54" t="str">
        <f aca="false">IF(F42="","",E42*F42)</f>
        <v/>
      </c>
    </row>
    <row r="43" customFormat="false" ht="15.75" hidden="false" customHeight="true" outlineLevel="0" collapsed="false">
      <c r="A43" s="51" t="s">
        <v>110</v>
      </c>
      <c r="B43" s="52" t="s">
        <v>206</v>
      </c>
      <c r="C43" s="33" t="s">
        <v>207</v>
      </c>
      <c r="D43" s="53" t="s">
        <v>152</v>
      </c>
      <c r="E43" s="32" t="n">
        <v>2</v>
      </c>
      <c r="F43" s="54" t="str">
        <f aca="false">IF(Master_Results!$D$43="","",IF(D43=Master_Results!$D$43,1,0))</f>
        <v/>
      </c>
      <c r="G43" s="54" t="str">
        <f aca="false">IF(F43="","",E43*F43)</f>
        <v/>
      </c>
    </row>
    <row r="44" customFormat="false" ht="15.75" hidden="false" customHeight="true" outlineLevel="0" collapsed="false">
      <c r="A44" s="51" t="s">
        <v>110</v>
      </c>
      <c r="B44" s="52" t="s">
        <v>208</v>
      </c>
      <c r="C44" s="33" t="s">
        <v>209</v>
      </c>
      <c r="D44" s="53" t="s">
        <v>265</v>
      </c>
      <c r="E44" s="32" t="n">
        <v>2</v>
      </c>
      <c r="F44" s="54" t="str">
        <f aca="false">IF(Master_Results!$D$44="","",IF(D44=Master_Results!$D$44,1,0))</f>
        <v/>
      </c>
      <c r="G44" s="54" t="str">
        <f aca="false">IF(F44="","",E44*F44)</f>
        <v/>
      </c>
    </row>
    <row r="45" customFormat="false" ht="15.75" hidden="false" customHeight="true" outlineLevel="0" collapsed="false">
      <c r="A45" s="51" t="s">
        <v>110</v>
      </c>
      <c r="B45" s="52" t="s">
        <v>210</v>
      </c>
      <c r="C45" s="33" t="s">
        <v>211</v>
      </c>
      <c r="D45" s="53" t="s">
        <v>266</v>
      </c>
      <c r="E45" s="32" t="n">
        <v>2</v>
      </c>
      <c r="F45" s="54" t="str">
        <f aca="false">IF(Master_Results!$D$45="","",IF(D45=Master_Results!$D$45,1,0))</f>
        <v/>
      </c>
      <c r="G45" s="54" t="str">
        <f aca="false">IF(F45="","",E45*F45)</f>
        <v/>
      </c>
    </row>
    <row r="46" customFormat="false" ht="15.75" hidden="false" customHeight="true" outlineLevel="0" collapsed="false">
      <c r="A46" s="51" t="s">
        <v>110</v>
      </c>
      <c r="B46" s="52" t="s">
        <v>212</v>
      </c>
      <c r="C46" s="33" t="s">
        <v>213</v>
      </c>
      <c r="D46" s="53" t="s">
        <v>269</v>
      </c>
      <c r="E46" s="32" t="n">
        <v>2</v>
      </c>
      <c r="F46" s="54" t="str">
        <f aca="false">IF(Master_Results!$D$46="","",IF(D46=Master_Results!$D$46,1,0))</f>
        <v/>
      </c>
      <c r="G46" s="54" t="str">
        <f aca="false">IF(F46="","",E46*F46)</f>
        <v/>
      </c>
    </row>
    <row r="47" customFormat="false" ht="15.75" hidden="false" customHeight="true" outlineLevel="0" collapsed="false">
      <c r="A47" s="51" t="s">
        <v>110</v>
      </c>
      <c r="B47" s="52" t="s">
        <v>214</v>
      </c>
      <c r="C47" s="33" t="s">
        <v>215</v>
      </c>
      <c r="D47" s="53" t="s">
        <v>271</v>
      </c>
      <c r="E47" s="32" t="n">
        <v>2</v>
      </c>
      <c r="F47" s="54" t="str">
        <f aca="false">IF(Master_Results!$D$47="","",IF(D47=Master_Results!$D$47,1,0))</f>
        <v/>
      </c>
      <c r="G47" s="54" t="str">
        <f aca="false">IF(F47="","",E47*F47)</f>
        <v/>
      </c>
    </row>
    <row r="48" customFormat="false" ht="15.75" hidden="false" customHeight="true" outlineLevel="0" collapsed="false">
      <c r="A48" s="51" t="s">
        <v>110</v>
      </c>
      <c r="B48" s="52" t="s">
        <v>216</v>
      </c>
      <c r="C48" s="33" t="s">
        <v>217</v>
      </c>
      <c r="D48" s="53" t="s">
        <v>273</v>
      </c>
      <c r="E48" s="32" t="n">
        <v>2</v>
      </c>
      <c r="F48" s="54" t="str">
        <f aca="false">IF(Master_Results!$D$48="","",IF(D48=Master_Results!$D$48,1,0))</f>
        <v/>
      </c>
      <c r="G48" s="54" t="str">
        <f aca="false">IF(F48="","",E48*F48)</f>
        <v/>
      </c>
    </row>
    <row r="49" customFormat="false" ht="15.75" hidden="false" customHeight="true" outlineLevel="0" collapsed="false">
      <c r="A49" s="51" t="s">
        <v>110</v>
      </c>
      <c r="B49" s="52" t="s">
        <v>218</v>
      </c>
      <c r="C49" s="33" t="s">
        <v>219</v>
      </c>
      <c r="D49" s="53" t="s">
        <v>274</v>
      </c>
      <c r="E49" s="32" t="n">
        <v>2</v>
      </c>
      <c r="F49" s="54" t="str">
        <f aca="false">IF(Master_Results!$D$49="","",IF(D49=Master_Results!$D$49,1,0))</f>
        <v/>
      </c>
      <c r="G49" s="54" t="str">
        <f aca="false">IF(F49="","",E49*F49)</f>
        <v/>
      </c>
    </row>
    <row r="50" customFormat="false" ht="15.75" hidden="false" customHeight="true" outlineLevel="0" collapsed="false">
      <c r="A50" s="51" t="s">
        <v>110</v>
      </c>
      <c r="B50" s="52" t="s">
        <v>220</v>
      </c>
      <c r="C50" s="33" t="s">
        <v>221</v>
      </c>
      <c r="D50" s="53" t="s">
        <v>277</v>
      </c>
      <c r="E50" s="32" t="n">
        <v>2</v>
      </c>
      <c r="F50" s="54" t="str">
        <f aca="false">IF(Master_Results!$D$50="","",IF(D50=Master_Results!$D$50,1,0))</f>
        <v/>
      </c>
      <c r="G50" s="54" t="str">
        <f aca="false">IF(F50="","",E50*F50)</f>
        <v/>
      </c>
    </row>
    <row r="51" customFormat="false" ht="15.75" hidden="false" customHeight="true" outlineLevel="0" collapsed="false">
      <c r="A51" s="51" t="s">
        <v>110</v>
      </c>
      <c r="B51" s="52" t="s">
        <v>222</v>
      </c>
      <c r="C51" s="33" t="s">
        <v>223</v>
      </c>
      <c r="D51" s="53" t="s">
        <v>278</v>
      </c>
      <c r="E51" s="32" t="n">
        <v>2</v>
      </c>
      <c r="F51" s="54" t="str">
        <f aca="false">IF(Master_Results!$D$51="","",IF(D51=Master_Results!$D$51,1,0))</f>
        <v/>
      </c>
      <c r="G51" s="54" t="str">
        <f aca="false">IF(F51="","",E51*F51)</f>
        <v/>
      </c>
    </row>
    <row r="52" customFormat="false" ht="15.75" hidden="false" customHeight="true" outlineLevel="0" collapsed="false">
      <c r="A52" s="51" t="s">
        <v>110</v>
      </c>
      <c r="B52" s="52" t="s">
        <v>224</v>
      </c>
      <c r="C52" s="33" t="s">
        <v>225</v>
      </c>
      <c r="D52" s="53" t="s">
        <v>281</v>
      </c>
      <c r="E52" s="32" t="n">
        <v>2</v>
      </c>
      <c r="F52" s="54" t="str">
        <f aca="false">IF(Master_Results!$D$52="","",IF(D52=Master_Results!$D$52,1,0))</f>
        <v/>
      </c>
      <c r="G52" s="54" t="str">
        <f aca="false">IF(F52="","",E52*F52)</f>
        <v/>
      </c>
    </row>
    <row r="53" customFormat="false" ht="19.5" hidden="false" customHeight="true" outlineLevel="0" collapsed="false">
      <c r="A53" s="34" t="s">
        <v>284</v>
      </c>
      <c r="B53" s="34"/>
      <c r="C53" s="34"/>
      <c r="D53" s="34"/>
      <c r="E53" s="34"/>
      <c r="F53" s="34"/>
      <c r="G53" s="34"/>
      <c r="H53" s="34"/>
    </row>
    <row r="54" customFormat="false" ht="15.75" hidden="false" customHeight="true" outlineLevel="0" collapsed="false">
      <c r="A54" s="55" t="s">
        <v>111</v>
      </c>
      <c r="B54" s="56" t="s">
        <v>227</v>
      </c>
      <c r="C54" s="36" t="s">
        <v>195</v>
      </c>
      <c r="D54" s="57" t="s">
        <v>252</v>
      </c>
      <c r="E54" s="35" t="n">
        <v>4</v>
      </c>
      <c r="F54" s="58" t="str">
        <f aca="false">IF(Master_Results!$D$54="","",IF(D54=Master_Results!$D$54,1,0))</f>
        <v/>
      </c>
      <c r="G54" s="58" t="str">
        <f aca="false">IF(F54="","",E54*F54)</f>
        <v/>
      </c>
    </row>
    <row r="55" customFormat="false" ht="15.75" hidden="false" customHeight="true" outlineLevel="0" collapsed="false">
      <c r="A55" s="55" t="s">
        <v>111</v>
      </c>
      <c r="B55" s="56" t="s">
        <v>228</v>
      </c>
      <c r="C55" s="36" t="s">
        <v>197</v>
      </c>
      <c r="D55" s="57" t="s">
        <v>258</v>
      </c>
      <c r="E55" s="35" t="n">
        <v>4</v>
      </c>
      <c r="F55" s="58" t="str">
        <f aca="false">IF(Master_Results!$D$55="","",IF(D55=Master_Results!$D$55,1,0))</f>
        <v/>
      </c>
      <c r="G55" s="58" t="str">
        <f aca="false">IF(F55="","",E55*F55)</f>
        <v/>
      </c>
    </row>
    <row r="56" customFormat="false" ht="15.75" hidden="false" customHeight="true" outlineLevel="0" collapsed="false">
      <c r="A56" s="55" t="s">
        <v>111</v>
      </c>
      <c r="B56" s="56" t="s">
        <v>229</v>
      </c>
      <c r="C56" s="36" t="s">
        <v>199</v>
      </c>
      <c r="D56" s="57" t="s">
        <v>259</v>
      </c>
      <c r="E56" s="35" t="n">
        <v>4</v>
      </c>
      <c r="F56" s="58" t="str">
        <f aca="false">IF(Master_Results!$D$56="","",IF(D56=Master_Results!$D$56,1,0))</f>
        <v/>
      </c>
      <c r="G56" s="58" t="str">
        <f aca="false">IF(F56="","",E56*F56)</f>
        <v/>
      </c>
    </row>
    <row r="57" customFormat="false" ht="15.75" hidden="false" customHeight="true" outlineLevel="0" collapsed="false">
      <c r="A57" s="55" t="s">
        <v>111</v>
      </c>
      <c r="B57" s="56" t="s">
        <v>230</v>
      </c>
      <c r="C57" s="36" t="s">
        <v>201</v>
      </c>
      <c r="D57" s="57" t="s">
        <v>265</v>
      </c>
      <c r="E57" s="35" t="n">
        <v>4</v>
      </c>
      <c r="F57" s="58" t="str">
        <f aca="false">IF(Master_Results!$D$57="","",IF(D57=Master_Results!$D$57,1,0))</f>
        <v/>
      </c>
      <c r="G57" s="58" t="str">
        <f aca="false">IF(F57="","",E57*F57)</f>
        <v/>
      </c>
    </row>
    <row r="58" customFormat="false" ht="15.75" hidden="false" customHeight="true" outlineLevel="0" collapsed="false">
      <c r="A58" s="55" t="s">
        <v>111</v>
      </c>
      <c r="B58" s="56" t="s">
        <v>231</v>
      </c>
      <c r="C58" s="36" t="s">
        <v>203</v>
      </c>
      <c r="D58" s="57" t="s">
        <v>266</v>
      </c>
      <c r="E58" s="35" t="n">
        <v>4</v>
      </c>
      <c r="F58" s="58" t="str">
        <f aca="false">IF(Master_Results!$D$58="","",IF(D58=Master_Results!$D$58,1,0))</f>
        <v/>
      </c>
      <c r="G58" s="58" t="str">
        <f aca="false">IF(F58="","",E58*F58)</f>
        <v/>
      </c>
    </row>
    <row r="59" customFormat="false" ht="15.75" hidden="false" customHeight="true" outlineLevel="0" collapsed="false">
      <c r="A59" s="55" t="s">
        <v>111</v>
      </c>
      <c r="B59" s="56" t="s">
        <v>232</v>
      </c>
      <c r="C59" s="36" t="s">
        <v>205</v>
      </c>
      <c r="D59" s="57" t="s">
        <v>273</v>
      </c>
      <c r="E59" s="35" t="n">
        <v>4</v>
      </c>
      <c r="F59" s="58" t="str">
        <f aca="false">IF(Master_Results!$D$59="","",IF(D59=Master_Results!$D$59,1,0))</f>
        <v/>
      </c>
      <c r="G59" s="58" t="str">
        <f aca="false">IF(F59="","",E59*F59)</f>
        <v/>
      </c>
    </row>
    <row r="60" customFormat="false" ht="15.75" hidden="false" customHeight="true" outlineLevel="0" collapsed="false">
      <c r="A60" s="55" t="s">
        <v>111</v>
      </c>
      <c r="B60" s="56" t="s">
        <v>233</v>
      </c>
      <c r="C60" s="36" t="s">
        <v>207</v>
      </c>
      <c r="D60" s="57" t="s">
        <v>274</v>
      </c>
      <c r="E60" s="35" t="n">
        <v>4</v>
      </c>
      <c r="F60" s="58" t="str">
        <f aca="false">IF(Master_Results!$D$60="","",IF(D60=Master_Results!$D$60,1,0))</f>
        <v/>
      </c>
      <c r="G60" s="58" t="str">
        <f aca="false">IF(F60="","",E60*F60)</f>
        <v/>
      </c>
    </row>
    <row r="61" customFormat="false" ht="15.75" hidden="false" customHeight="true" outlineLevel="0" collapsed="false">
      <c r="A61" s="55" t="s">
        <v>111</v>
      </c>
      <c r="B61" s="56" t="s">
        <v>234</v>
      </c>
      <c r="C61" s="36" t="s">
        <v>209</v>
      </c>
      <c r="D61" s="57" t="s">
        <v>277</v>
      </c>
      <c r="E61" s="35" t="n">
        <v>4</v>
      </c>
      <c r="F61" s="58" t="str">
        <f aca="false">IF(Master_Results!$D$61="","",IF(D61=Master_Results!$D$61,1,0))</f>
        <v/>
      </c>
      <c r="G61" s="58" t="str">
        <f aca="false">IF(F61="","",E61*F61)</f>
        <v/>
      </c>
    </row>
    <row r="62" customFormat="false" ht="19.5" hidden="false" customHeight="true" outlineLevel="0" collapsed="false">
      <c r="A62" s="37" t="s">
        <v>285</v>
      </c>
      <c r="B62" s="37"/>
      <c r="C62" s="37"/>
      <c r="D62" s="37"/>
      <c r="E62" s="37"/>
      <c r="F62" s="37"/>
      <c r="G62" s="37"/>
      <c r="H62" s="37"/>
    </row>
    <row r="63" customFormat="false" ht="15.75" hidden="false" customHeight="true" outlineLevel="0" collapsed="false">
      <c r="A63" s="59" t="s">
        <v>112</v>
      </c>
      <c r="B63" s="60" t="s">
        <v>236</v>
      </c>
      <c r="C63" s="39" t="s">
        <v>195</v>
      </c>
      <c r="D63" s="61" t="s">
        <v>258</v>
      </c>
      <c r="E63" s="38" t="n">
        <v>8</v>
      </c>
      <c r="F63" s="62" t="str">
        <f aca="false">IF(Master_Results!$D$63="","",IF(D63=Master_Results!$D$63,1,0))</f>
        <v/>
      </c>
      <c r="G63" s="62" t="str">
        <f aca="false">IF(F63="","",E63*F63)</f>
        <v/>
      </c>
    </row>
    <row r="64" customFormat="false" ht="15.75" hidden="false" customHeight="true" outlineLevel="0" collapsed="false">
      <c r="A64" s="59" t="s">
        <v>112</v>
      </c>
      <c r="B64" s="60" t="s">
        <v>237</v>
      </c>
      <c r="C64" s="39" t="s">
        <v>197</v>
      </c>
      <c r="D64" s="61" t="s">
        <v>265</v>
      </c>
      <c r="E64" s="38" t="n">
        <v>8</v>
      </c>
      <c r="F64" s="62" t="str">
        <f aca="false">IF(Master_Results!$D$64="","",IF(D64=Master_Results!$D$64,1,0))</f>
        <v/>
      </c>
      <c r="G64" s="62" t="str">
        <f aca="false">IF(F64="","",E64*F64)</f>
        <v/>
      </c>
    </row>
    <row r="65" customFormat="false" ht="15.75" hidden="false" customHeight="true" outlineLevel="0" collapsed="false">
      <c r="A65" s="59" t="s">
        <v>112</v>
      </c>
      <c r="B65" s="60" t="s">
        <v>238</v>
      </c>
      <c r="C65" s="39" t="s">
        <v>199</v>
      </c>
      <c r="D65" s="61" t="s">
        <v>273</v>
      </c>
      <c r="E65" s="38" t="n">
        <v>8</v>
      </c>
      <c r="F65" s="62" t="str">
        <f aca="false">IF(Master_Results!$D$65="","",IF(D65=Master_Results!$D$65,1,0))</f>
        <v/>
      </c>
      <c r="G65" s="62" t="str">
        <f aca="false">IF(F65="","",E65*F65)</f>
        <v/>
      </c>
    </row>
    <row r="66" customFormat="false" ht="15.75" hidden="false" customHeight="true" outlineLevel="0" collapsed="false">
      <c r="A66" s="59" t="s">
        <v>112</v>
      </c>
      <c r="B66" s="60" t="s">
        <v>239</v>
      </c>
      <c r="C66" s="39" t="s">
        <v>201</v>
      </c>
      <c r="D66" s="61" t="s">
        <v>277</v>
      </c>
      <c r="E66" s="38" t="n">
        <v>8</v>
      </c>
      <c r="F66" s="62" t="str">
        <f aca="false">IF(Master_Results!$D$66="","",IF(D66=Master_Results!$D$66,1,0))</f>
        <v/>
      </c>
      <c r="G66" s="62" t="str">
        <f aca="false">IF(F66="","",E66*F66)</f>
        <v/>
      </c>
    </row>
    <row r="67" customFormat="false" ht="19.5" hidden="false" customHeight="true" outlineLevel="0" collapsed="false">
      <c r="A67" s="40" t="s">
        <v>286</v>
      </c>
      <c r="B67" s="40"/>
      <c r="C67" s="40"/>
      <c r="D67" s="40"/>
      <c r="E67" s="40"/>
      <c r="F67" s="40"/>
      <c r="G67" s="40"/>
      <c r="H67" s="40"/>
    </row>
    <row r="68" customFormat="false" ht="15.75" hidden="false" customHeight="true" outlineLevel="0" collapsed="false">
      <c r="A68" s="63" t="s">
        <v>241</v>
      </c>
      <c r="B68" s="64" t="s">
        <v>242</v>
      </c>
      <c r="C68" s="42" t="s">
        <v>195</v>
      </c>
      <c r="D68" s="65" t="s">
        <v>258</v>
      </c>
      <c r="E68" s="41" t="n">
        <v>16</v>
      </c>
      <c r="F68" s="66" t="str">
        <f aca="false">IF(Master_Results!$D$68="","",IF(D68=Master_Results!$D$68,1,0))</f>
        <v/>
      </c>
      <c r="G68" s="66" t="str">
        <f aca="false">IF(F68="","",E68*F68)</f>
        <v/>
      </c>
    </row>
    <row r="69" customFormat="false" ht="15.75" hidden="false" customHeight="true" outlineLevel="0" collapsed="false">
      <c r="A69" s="63" t="s">
        <v>241</v>
      </c>
      <c r="B69" s="64" t="s">
        <v>243</v>
      </c>
      <c r="C69" s="42" t="s">
        <v>197</v>
      </c>
      <c r="D69" s="65" t="s">
        <v>273</v>
      </c>
      <c r="E69" s="41" t="n">
        <v>16</v>
      </c>
      <c r="F69" s="66" t="str">
        <f aca="false">IF(Master_Results!$D$69="","",IF(D69=Master_Results!$D$69,1,0))</f>
        <v/>
      </c>
      <c r="G69" s="66" t="str">
        <f aca="false">IF(F69="","",E69*F69)</f>
        <v/>
      </c>
    </row>
    <row r="70" customFormat="false" ht="19.5" hidden="false" customHeight="true" outlineLevel="0" collapsed="false">
      <c r="A70" s="43" t="s">
        <v>287</v>
      </c>
      <c r="B70" s="43"/>
      <c r="C70" s="43"/>
      <c r="D70" s="43"/>
      <c r="E70" s="43"/>
      <c r="F70" s="43"/>
      <c r="G70" s="43"/>
      <c r="H70" s="43"/>
    </row>
    <row r="71" customFormat="false" ht="15.75" hidden="false" customHeight="true" outlineLevel="0" collapsed="false">
      <c r="A71" s="67" t="s">
        <v>114</v>
      </c>
      <c r="B71" s="68" t="s">
        <v>245</v>
      </c>
      <c r="C71" s="45" t="s">
        <v>195</v>
      </c>
      <c r="D71" s="69" t="s">
        <v>258</v>
      </c>
      <c r="E71" s="44" t="n">
        <v>32</v>
      </c>
      <c r="F71" s="70" t="str">
        <f aca="false">IF(Master_Results!$D$71="","",IF(D71=Master_Results!$D$71,1,0))</f>
        <v/>
      </c>
      <c r="G71" s="70" t="str">
        <f aca="false">IF(F71="","",E71*F71)</f>
        <v/>
      </c>
    </row>
    <row r="73" customFormat="false" ht="25.5" hidden="false" customHeight="true" outlineLevel="0" collapsed="false">
      <c r="A73" s="71" t="s">
        <v>288</v>
      </c>
      <c r="B73" s="71"/>
      <c r="C73" s="71"/>
      <c r="D73" s="71"/>
      <c r="E73" s="71"/>
      <c r="F73" s="72" t="s">
        <v>289</v>
      </c>
      <c r="G73" s="73" t="n">
        <f aca="false">SUMIF(F3:F71,1,E3:E71)</f>
        <v>1</v>
      </c>
      <c r="H73" s="74" t="n">
        <f aca="false">SUMIF(F3:F71,"",E3:E71)</f>
        <v>190</v>
      </c>
    </row>
  </sheetData>
  <mergeCells count="8">
    <mergeCell ref="A1:H1"/>
    <mergeCell ref="A3:H3"/>
    <mergeCell ref="A36:H36"/>
    <mergeCell ref="A53:H53"/>
    <mergeCell ref="A62:H62"/>
    <mergeCell ref="A67:H67"/>
    <mergeCell ref="A70:H70"/>
    <mergeCell ref="A73:E73"/>
  </mergeCells>
  <conditionalFormatting sqref="A3:G71">
    <cfRule type="expression" priority="2" aboveAverage="0" equalAverage="0" bottom="0" percent="0" rank="0" text="" dxfId="3">
      <formula>$F3=1</formula>
    </cfRule>
    <cfRule type="expression" priority="3" aboveAverage="0" equalAverage="0" bottom="0" percent="0" rank="0" text="" dxfId="4">
      <formula>$F3=0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18"/>
    <col collapsed="false" customWidth="true" hidden="false" outlineLevel="0" max="5" min="5" style="9" width="9"/>
    <col collapsed="false" customWidth="true" hidden="false" outlineLevel="0" max="6" min="6" style="9" width="10"/>
    <col collapsed="false" customWidth="true" hidden="false" outlineLevel="0" max="7" min="7" style="9" width="11"/>
    <col collapsed="false" customWidth="true" hidden="false" outlineLevel="0" max="8" min="8" style="9" width="12"/>
  </cols>
  <sheetData>
    <row r="1" customFormat="false" ht="30" hidden="false" customHeight="true" outlineLevel="0" collapsed="false">
      <c r="A1" s="26" t="s">
        <v>298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247</v>
      </c>
      <c r="E2" s="12" t="s">
        <v>248</v>
      </c>
      <c r="F2" s="12" t="s">
        <v>249</v>
      </c>
      <c r="G2" s="12" t="s">
        <v>250</v>
      </c>
      <c r="H2" s="46"/>
    </row>
    <row r="3" customFormat="false" ht="19.5" hidden="false" customHeight="true" outlineLevel="0" collapsed="false">
      <c r="A3" s="27" t="s">
        <v>251</v>
      </c>
      <c r="B3" s="27"/>
      <c r="C3" s="27"/>
      <c r="D3" s="27"/>
      <c r="E3" s="27"/>
      <c r="F3" s="27"/>
      <c r="G3" s="27"/>
      <c r="H3" s="27"/>
    </row>
    <row r="4" customFormat="false" ht="15.75" hidden="false" customHeight="true" outlineLevel="0" collapsed="false">
      <c r="A4" s="47" t="s">
        <v>109</v>
      </c>
      <c r="B4" s="48" t="s">
        <v>127</v>
      </c>
      <c r="C4" s="29" t="s">
        <v>128</v>
      </c>
      <c r="D4" s="49" t="s">
        <v>252</v>
      </c>
      <c r="E4" s="28" t="n">
        <v>1</v>
      </c>
      <c r="F4" s="50" t="str">
        <f aca="false">IF(Master_Results!$D$4="","",IF(D4=Master_Results!$D$4,1,0))</f>
        <v/>
      </c>
      <c r="G4" s="50" t="str">
        <f aca="false">IF(F4="","",E4*F4)</f>
        <v/>
      </c>
    </row>
    <row r="5" customFormat="false" ht="15.75" hidden="false" customHeight="true" outlineLevel="0" collapsed="false">
      <c r="A5" s="47" t="s">
        <v>109</v>
      </c>
      <c r="B5" s="48" t="s">
        <v>129</v>
      </c>
      <c r="C5" s="29" t="s">
        <v>130</v>
      </c>
      <c r="D5" s="49" t="s">
        <v>291</v>
      </c>
      <c r="E5" s="28" t="n">
        <v>1</v>
      </c>
      <c r="F5" s="50" t="n">
        <f aca="false">IF(Master_Results!$D$5="","",IF(D5=Master_Results!$D$5,1,0))</f>
        <v>0</v>
      </c>
      <c r="G5" s="50" t="n">
        <f aca="false">IF(F5="","",E5*F5)</f>
        <v>0</v>
      </c>
    </row>
    <row r="6" customFormat="false" ht="15.75" hidden="false" customHeight="true" outlineLevel="0" collapsed="false">
      <c r="A6" s="47" t="s">
        <v>109</v>
      </c>
      <c r="B6" s="48" t="s">
        <v>132</v>
      </c>
      <c r="C6" s="29" t="s">
        <v>133</v>
      </c>
      <c r="D6" s="49" t="s">
        <v>253</v>
      </c>
      <c r="E6" s="28" t="n">
        <v>1</v>
      </c>
      <c r="F6" s="50" t="str">
        <f aca="false">IF(Master_Results!$D$6="","",IF(D6=Master_Results!$D$6,1,0))</f>
        <v/>
      </c>
      <c r="G6" s="50" t="str">
        <f aca="false">IF(F6="","",E6*F6)</f>
        <v/>
      </c>
    </row>
    <row r="7" customFormat="false" ht="15.75" hidden="false" customHeight="true" outlineLevel="0" collapsed="false">
      <c r="A7" s="47" t="s">
        <v>109</v>
      </c>
      <c r="B7" s="48" t="s">
        <v>134</v>
      </c>
      <c r="C7" s="29" t="s">
        <v>135</v>
      </c>
      <c r="D7" s="49" t="s">
        <v>254</v>
      </c>
      <c r="E7" s="28" t="n">
        <v>1</v>
      </c>
      <c r="F7" s="50" t="str">
        <f aca="false">IF(Master_Results!$D$7="","",IF(D7=Master_Results!$D$7,1,0))</f>
        <v/>
      </c>
      <c r="G7" s="50" t="str">
        <f aca="false">IF(F7="","",E7*F7)</f>
        <v/>
      </c>
    </row>
    <row r="8" customFormat="false" ht="15.75" hidden="false" customHeight="true" outlineLevel="0" collapsed="false">
      <c r="A8" s="47" t="s">
        <v>109</v>
      </c>
      <c r="B8" s="48" t="s">
        <v>136</v>
      </c>
      <c r="C8" s="29" t="s">
        <v>137</v>
      </c>
      <c r="D8" s="49" t="s">
        <v>255</v>
      </c>
      <c r="E8" s="28" t="n">
        <v>1</v>
      </c>
      <c r="F8" s="50" t="str">
        <f aca="false">IF(Master_Results!$D$8="","",IF(D8=Master_Results!$D$8,1,0))</f>
        <v/>
      </c>
      <c r="G8" s="50" t="str">
        <f aca="false">IF(F8="","",E8*F8)</f>
        <v/>
      </c>
    </row>
    <row r="9" customFormat="false" ht="15.75" hidden="false" customHeight="true" outlineLevel="0" collapsed="false">
      <c r="A9" s="47" t="s">
        <v>109</v>
      </c>
      <c r="B9" s="48" t="s">
        <v>138</v>
      </c>
      <c r="C9" s="29" t="s">
        <v>139</v>
      </c>
      <c r="D9" s="49" t="s">
        <v>256</v>
      </c>
      <c r="E9" s="28" t="n">
        <v>1</v>
      </c>
      <c r="F9" s="50" t="str">
        <f aca="false">IF(Master_Results!$D$9="","",IF(D9=Master_Results!$D$9,1,0))</f>
        <v/>
      </c>
      <c r="G9" s="50" t="str">
        <f aca="false">IF(F9="","",E9*F9)</f>
        <v/>
      </c>
    </row>
    <row r="10" customFormat="false" ht="15.75" hidden="false" customHeight="true" outlineLevel="0" collapsed="false">
      <c r="A10" s="47" t="s">
        <v>109</v>
      </c>
      <c r="B10" s="48" t="s">
        <v>140</v>
      </c>
      <c r="C10" s="29" t="s">
        <v>141</v>
      </c>
      <c r="D10" s="49" t="s">
        <v>299</v>
      </c>
      <c r="E10" s="28" t="n">
        <v>1</v>
      </c>
      <c r="F10" s="50" t="str">
        <f aca="false">IF(Master_Results!$D$10="","",IF(D10=Master_Results!$D$10,1,0))</f>
        <v/>
      </c>
      <c r="G10" s="50" t="str">
        <f aca="false">IF(F10="","",E10*F10)</f>
        <v/>
      </c>
    </row>
    <row r="11" customFormat="false" ht="15.75" hidden="false" customHeight="true" outlineLevel="0" collapsed="false">
      <c r="A11" s="47" t="s">
        <v>109</v>
      </c>
      <c r="B11" s="48" t="s">
        <v>142</v>
      </c>
      <c r="C11" s="29" t="s">
        <v>143</v>
      </c>
      <c r="D11" s="49" t="s">
        <v>258</v>
      </c>
      <c r="E11" s="28" t="n">
        <v>1</v>
      </c>
      <c r="F11" s="50" t="str">
        <f aca="false">IF(Master_Results!$D$11="","",IF(D11=Master_Results!$D$11,1,0))</f>
        <v/>
      </c>
      <c r="G11" s="50" t="str">
        <f aca="false">IF(F11="","",E11*F11)</f>
        <v/>
      </c>
    </row>
    <row r="12" customFormat="false" ht="15.75" hidden="false" customHeight="true" outlineLevel="0" collapsed="false">
      <c r="A12" s="47" t="s">
        <v>109</v>
      </c>
      <c r="B12" s="48" t="s">
        <v>144</v>
      </c>
      <c r="C12" s="29" t="s">
        <v>145</v>
      </c>
      <c r="D12" s="49" t="s">
        <v>259</v>
      </c>
      <c r="E12" s="28" t="n">
        <v>1</v>
      </c>
      <c r="F12" s="50" t="str">
        <f aca="false">IF(Master_Results!$D$12="","",IF(D12=Master_Results!$D$12,1,0))</f>
        <v/>
      </c>
      <c r="G12" s="50" t="str">
        <f aca="false">IF(F12="","",E12*F12)</f>
        <v/>
      </c>
    </row>
    <row r="13" customFormat="false" ht="15.75" hidden="false" customHeight="true" outlineLevel="0" collapsed="false">
      <c r="A13" s="47" t="s">
        <v>109</v>
      </c>
      <c r="B13" s="48" t="s">
        <v>146</v>
      </c>
      <c r="C13" s="29" t="s">
        <v>147</v>
      </c>
      <c r="D13" s="49" t="s">
        <v>283</v>
      </c>
      <c r="E13" s="28" t="n">
        <v>1</v>
      </c>
      <c r="F13" s="50" t="str">
        <f aca="false">IF(Master_Results!$D$13="","",IF(D13=Master_Results!$D$13,1,0))</f>
        <v/>
      </c>
      <c r="G13" s="50" t="str">
        <f aca="false">IF(F13="","",E13*F13)</f>
        <v/>
      </c>
    </row>
    <row r="14" customFormat="false" ht="15.75" hidden="false" customHeight="true" outlineLevel="0" collapsed="false">
      <c r="A14" s="47" t="s">
        <v>109</v>
      </c>
      <c r="B14" s="48" t="s">
        <v>148</v>
      </c>
      <c r="C14" s="29" t="s">
        <v>149</v>
      </c>
      <c r="D14" s="49" t="s">
        <v>261</v>
      </c>
      <c r="E14" s="28" t="n">
        <v>1</v>
      </c>
      <c r="F14" s="50" t="str">
        <f aca="false">IF(Master_Results!$D$14="","",IF(D14=Master_Results!$D$14,1,0))</f>
        <v/>
      </c>
      <c r="G14" s="50" t="str">
        <f aca="false">IF(F14="","",E14*F14)</f>
        <v/>
      </c>
    </row>
    <row r="15" customFormat="false" ht="15.75" hidden="false" customHeight="true" outlineLevel="0" collapsed="false">
      <c r="A15" s="47" t="s">
        <v>109</v>
      </c>
      <c r="B15" s="48" t="s">
        <v>150</v>
      </c>
      <c r="C15" s="29" t="s">
        <v>151</v>
      </c>
      <c r="D15" s="49" t="s">
        <v>152</v>
      </c>
      <c r="E15" s="28" t="n">
        <v>1</v>
      </c>
      <c r="F15" s="50" t="n">
        <f aca="false">IF(Master_Results!$D$15="","",IF(D15=Master_Results!$D$15,1,0))</f>
        <v>1</v>
      </c>
      <c r="G15" s="50" t="n">
        <f aca="false">IF(F15="","",E15*F15)</f>
        <v>1</v>
      </c>
    </row>
    <row r="16" customFormat="false" ht="15.75" hidden="false" customHeight="true" outlineLevel="0" collapsed="false">
      <c r="A16" s="47" t="s">
        <v>109</v>
      </c>
      <c r="B16" s="48" t="s">
        <v>153</v>
      </c>
      <c r="C16" s="29" t="s">
        <v>154</v>
      </c>
      <c r="D16" s="49" t="s">
        <v>262</v>
      </c>
      <c r="E16" s="28" t="n">
        <v>1</v>
      </c>
      <c r="F16" s="50" t="str">
        <f aca="false">IF(Master_Results!$D$16="","",IF(D16=Master_Results!$D$16,1,0))</f>
        <v/>
      </c>
      <c r="G16" s="50" t="str">
        <f aca="false">IF(F16="","",E16*F16)</f>
        <v/>
      </c>
    </row>
    <row r="17" customFormat="false" ht="15.75" hidden="false" customHeight="true" outlineLevel="0" collapsed="false">
      <c r="A17" s="47" t="s">
        <v>109</v>
      </c>
      <c r="B17" s="48" t="s">
        <v>155</v>
      </c>
      <c r="C17" s="29" t="s">
        <v>156</v>
      </c>
      <c r="D17" s="49" t="s">
        <v>263</v>
      </c>
      <c r="E17" s="28" t="n">
        <v>1</v>
      </c>
      <c r="F17" s="50" t="str">
        <f aca="false">IF(Master_Results!$D$17="","",IF(D17=Master_Results!$D$17,1,0))</f>
        <v/>
      </c>
      <c r="G17" s="50" t="str">
        <f aca="false">IF(F17="","",E17*F17)</f>
        <v/>
      </c>
    </row>
    <row r="18" customFormat="false" ht="15.75" hidden="false" customHeight="true" outlineLevel="0" collapsed="false">
      <c r="A18" s="47" t="s">
        <v>109</v>
      </c>
      <c r="B18" s="48" t="s">
        <v>157</v>
      </c>
      <c r="C18" s="29" t="s">
        <v>158</v>
      </c>
      <c r="D18" s="49" t="s">
        <v>294</v>
      </c>
      <c r="E18" s="28" t="n">
        <v>1</v>
      </c>
      <c r="F18" s="50" t="str">
        <f aca="false">IF(Master_Results!$D$18="","",IF(D18=Master_Results!$D$18,1,0))</f>
        <v/>
      </c>
      <c r="G18" s="50" t="str">
        <f aca="false">IF(F18="","",E18*F18)</f>
        <v/>
      </c>
    </row>
    <row r="19" customFormat="false" ht="15.75" hidden="false" customHeight="true" outlineLevel="0" collapsed="false">
      <c r="A19" s="47" t="s">
        <v>109</v>
      </c>
      <c r="B19" s="48" t="s">
        <v>159</v>
      </c>
      <c r="C19" s="29" t="s">
        <v>160</v>
      </c>
      <c r="D19" s="49" t="s">
        <v>265</v>
      </c>
      <c r="E19" s="28" t="n">
        <v>1</v>
      </c>
      <c r="F19" s="50" t="str">
        <f aca="false">IF(Master_Results!$D$19="","",IF(D19=Master_Results!$D$19,1,0))</f>
        <v/>
      </c>
      <c r="G19" s="50" t="str">
        <f aca="false">IF(F19="","",E19*F19)</f>
        <v/>
      </c>
    </row>
    <row r="20" customFormat="false" ht="15.75" hidden="false" customHeight="true" outlineLevel="0" collapsed="false">
      <c r="A20" s="47" t="s">
        <v>109</v>
      </c>
      <c r="B20" s="48" t="s">
        <v>161</v>
      </c>
      <c r="C20" s="29" t="s">
        <v>162</v>
      </c>
      <c r="D20" s="49" t="s">
        <v>266</v>
      </c>
      <c r="E20" s="28" t="n">
        <v>1</v>
      </c>
      <c r="F20" s="50" t="str">
        <f aca="false">IF(Master_Results!$D$20="","",IF(D20=Master_Results!$D$20,1,0))</f>
        <v/>
      </c>
      <c r="G20" s="50" t="str">
        <f aca="false">IF(F20="","",E20*F20)</f>
        <v/>
      </c>
    </row>
    <row r="21" customFormat="false" ht="15.75" hidden="false" customHeight="true" outlineLevel="0" collapsed="false">
      <c r="A21" s="47" t="s">
        <v>109</v>
      </c>
      <c r="B21" s="48" t="s">
        <v>163</v>
      </c>
      <c r="C21" s="29" t="s">
        <v>164</v>
      </c>
      <c r="D21" s="49" t="s">
        <v>267</v>
      </c>
      <c r="E21" s="28" t="n">
        <v>1</v>
      </c>
      <c r="F21" s="50" t="str">
        <f aca="false">IF(Master_Results!$D$21="","",IF(D21=Master_Results!$D$21,1,0))</f>
        <v/>
      </c>
      <c r="G21" s="50" t="str">
        <f aca="false">IF(F21="","",E21*F21)</f>
        <v/>
      </c>
    </row>
    <row r="22" customFormat="false" ht="15.75" hidden="false" customHeight="true" outlineLevel="0" collapsed="false">
      <c r="A22" s="47" t="s">
        <v>109</v>
      </c>
      <c r="B22" s="48" t="s">
        <v>165</v>
      </c>
      <c r="C22" s="29" t="s">
        <v>166</v>
      </c>
      <c r="D22" s="49" t="s">
        <v>268</v>
      </c>
      <c r="E22" s="28" t="n">
        <v>1</v>
      </c>
      <c r="F22" s="50" t="str">
        <f aca="false">IF(Master_Results!$D$22="","",IF(D22=Master_Results!$D$22,1,0))</f>
        <v/>
      </c>
      <c r="G22" s="50" t="str">
        <f aca="false">IF(F22="","",E22*F22)</f>
        <v/>
      </c>
    </row>
    <row r="23" customFormat="false" ht="15.75" hidden="false" customHeight="true" outlineLevel="0" collapsed="false">
      <c r="A23" s="47" t="s">
        <v>109</v>
      </c>
      <c r="B23" s="48" t="s">
        <v>167</v>
      </c>
      <c r="C23" s="29" t="s">
        <v>168</v>
      </c>
      <c r="D23" s="49" t="s">
        <v>269</v>
      </c>
      <c r="E23" s="28" t="n">
        <v>1</v>
      </c>
      <c r="F23" s="50" t="str">
        <f aca="false">IF(Master_Results!$D$23="","",IF(D23=Master_Results!$D$23,1,0))</f>
        <v/>
      </c>
      <c r="G23" s="50" t="str">
        <f aca="false">IF(F23="","",E23*F23)</f>
        <v/>
      </c>
    </row>
    <row r="24" customFormat="false" ht="15.75" hidden="false" customHeight="true" outlineLevel="0" collapsed="false">
      <c r="A24" s="47" t="s">
        <v>109</v>
      </c>
      <c r="B24" s="48" t="s">
        <v>169</v>
      </c>
      <c r="C24" s="29" t="s">
        <v>170</v>
      </c>
      <c r="D24" s="49" t="s">
        <v>270</v>
      </c>
      <c r="E24" s="28" t="n">
        <v>1</v>
      </c>
      <c r="F24" s="50" t="str">
        <f aca="false">IF(Master_Results!$D$24="","",IF(D24=Master_Results!$D$24,1,0))</f>
        <v/>
      </c>
      <c r="G24" s="50" t="str">
        <f aca="false">IF(F24="","",E24*F24)</f>
        <v/>
      </c>
    </row>
    <row r="25" customFormat="false" ht="15.75" hidden="false" customHeight="true" outlineLevel="0" collapsed="false">
      <c r="A25" s="47" t="s">
        <v>109</v>
      </c>
      <c r="B25" s="48" t="s">
        <v>171</v>
      </c>
      <c r="C25" s="29" t="s">
        <v>172</v>
      </c>
      <c r="D25" s="49" t="s">
        <v>271</v>
      </c>
      <c r="E25" s="28" t="n">
        <v>1</v>
      </c>
      <c r="F25" s="50" t="str">
        <f aca="false">IF(Master_Results!$D$25="","",IF(D25=Master_Results!$D$25,1,0))</f>
        <v/>
      </c>
      <c r="G25" s="50" t="str">
        <f aca="false">IF(F25="","",E25*F25)</f>
        <v/>
      </c>
    </row>
    <row r="26" customFormat="false" ht="15.75" hidden="false" customHeight="true" outlineLevel="0" collapsed="false">
      <c r="A26" s="47" t="s">
        <v>109</v>
      </c>
      <c r="B26" s="48" t="s">
        <v>173</v>
      </c>
      <c r="C26" s="29" t="s">
        <v>174</v>
      </c>
      <c r="D26" s="49" t="s">
        <v>272</v>
      </c>
      <c r="E26" s="28" t="n">
        <v>1</v>
      </c>
      <c r="F26" s="50" t="str">
        <f aca="false">IF(Master_Results!$D$26="","",IF(D26=Master_Results!$D$26,1,0))</f>
        <v/>
      </c>
      <c r="G26" s="50" t="str">
        <f aca="false">IF(F26="","",E26*F26)</f>
        <v/>
      </c>
    </row>
    <row r="27" customFormat="false" ht="15.75" hidden="false" customHeight="true" outlineLevel="0" collapsed="false">
      <c r="A27" s="47" t="s">
        <v>109</v>
      </c>
      <c r="B27" s="48" t="s">
        <v>175</v>
      </c>
      <c r="C27" s="29" t="s">
        <v>176</v>
      </c>
      <c r="D27" s="49" t="s">
        <v>273</v>
      </c>
      <c r="E27" s="28" t="n">
        <v>1</v>
      </c>
      <c r="F27" s="50" t="str">
        <f aca="false">IF(Master_Results!$D$27="","",IF(D27=Master_Results!$D$27,1,0))</f>
        <v/>
      </c>
      <c r="G27" s="50" t="str">
        <f aca="false">IF(F27="","",E27*F27)</f>
        <v/>
      </c>
    </row>
    <row r="28" customFormat="false" ht="15.75" hidden="false" customHeight="true" outlineLevel="0" collapsed="false">
      <c r="A28" s="47" t="s">
        <v>109</v>
      </c>
      <c r="B28" s="48" t="s">
        <v>177</v>
      </c>
      <c r="C28" s="29" t="s">
        <v>178</v>
      </c>
      <c r="D28" s="49" t="s">
        <v>274</v>
      </c>
      <c r="E28" s="28" t="n">
        <v>1</v>
      </c>
      <c r="F28" s="50" t="str">
        <f aca="false">IF(Master_Results!$D$28="","",IF(D28=Master_Results!$D$28,1,0))</f>
        <v/>
      </c>
      <c r="G28" s="50" t="str">
        <f aca="false">IF(F28="","",E28*F28)</f>
        <v/>
      </c>
    </row>
    <row r="29" customFormat="false" ht="15.75" hidden="false" customHeight="true" outlineLevel="0" collapsed="false">
      <c r="A29" s="47" t="s">
        <v>109</v>
      </c>
      <c r="B29" s="48" t="s">
        <v>179</v>
      </c>
      <c r="C29" s="29" t="s">
        <v>180</v>
      </c>
      <c r="D29" s="49" t="s">
        <v>275</v>
      </c>
      <c r="E29" s="28" t="n">
        <v>1</v>
      </c>
      <c r="F29" s="50" t="str">
        <f aca="false">IF(Master_Results!$D$29="","",IF(D29=Master_Results!$D$29,1,0))</f>
        <v/>
      </c>
      <c r="G29" s="50" t="str">
        <f aca="false">IF(F29="","",E29*F29)</f>
        <v/>
      </c>
    </row>
    <row r="30" customFormat="false" ht="15.75" hidden="false" customHeight="true" outlineLevel="0" collapsed="false">
      <c r="A30" s="47" t="s">
        <v>109</v>
      </c>
      <c r="B30" s="48" t="s">
        <v>181</v>
      </c>
      <c r="C30" s="29" t="s">
        <v>182</v>
      </c>
      <c r="D30" s="49" t="s">
        <v>276</v>
      </c>
      <c r="E30" s="28" t="n">
        <v>1</v>
      </c>
      <c r="F30" s="50" t="str">
        <f aca="false">IF(Master_Results!$D$30="","",IF(D30=Master_Results!$D$30,1,0))</f>
        <v/>
      </c>
      <c r="G30" s="50" t="str">
        <f aca="false">IF(F30="","",E30*F30)</f>
        <v/>
      </c>
    </row>
    <row r="31" customFormat="false" ht="15.75" hidden="false" customHeight="true" outlineLevel="0" collapsed="false">
      <c r="A31" s="47" t="s">
        <v>109</v>
      </c>
      <c r="B31" s="48" t="s">
        <v>183</v>
      </c>
      <c r="C31" s="29" t="s">
        <v>184</v>
      </c>
      <c r="D31" s="49" t="s">
        <v>277</v>
      </c>
      <c r="E31" s="28" t="n">
        <v>1</v>
      </c>
      <c r="F31" s="50" t="str">
        <f aca="false">IF(Master_Results!$D$31="","",IF(D31=Master_Results!$D$31,1,0))</f>
        <v/>
      </c>
      <c r="G31" s="50" t="str">
        <f aca="false">IF(F31="","",E31*F31)</f>
        <v/>
      </c>
    </row>
    <row r="32" customFormat="false" ht="15.75" hidden="false" customHeight="true" outlineLevel="0" collapsed="false">
      <c r="A32" s="47" t="s">
        <v>109</v>
      </c>
      <c r="B32" s="48" t="s">
        <v>185</v>
      </c>
      <c r="C32" s="29" t="s">
        <v>186</v>
      </c>
      <c r="D32" s="49" t="s">
        <v>278</v>
      </c>
      <c r="E32" s="28" t="n">
        <v>1</v>
      </c>
      <c r="F32" s="50" t="str">
        <f aca="false">IF(Master_Results!$D$32="","",IF(D32=Master_Results!$D$32,1,0))</f>
        <v/>
      </c>
      <c r="G32" s="50" t="str">
        <f aca="false">IF(F32="","",E32*F32)</f>
        <v/>
      </c>
    </row>
    <row r="33" customFormat="false" ht="15.75" hidden="false" customHeight="true" outlineLevel="0" collapsed="false">
      <c r="A33" s="47" t="s">
        <v>109</v>
      </c>
      <c r="B33" s="48" t="s">
        <v>187</v>
      </c>
      <c r="C33" s="29" t="s">
        <v>188</v>
      </c>
      <c r="D33" s="49" t="s">
        <v>279</v>
      </c>
      <c r="E33" s="28" t="n">
        <v>1</v>
      </c>
      <c r="F33" s="50" t="str">
        <f aca="false">IF(Master_Results!$D$33="","",IF(D33=Master_Results!$D$33,1,0))</f>
        <v/>
      </c>
      <c r="G33" s="50" t="str">
        <f aca="false">IF(F33="","",E33*F33)</f>
        <v/>
      </c>
    </row>
    <row r="34" customFormat="false" ht="15.75" hidden="false" customHeight="true" outlineLevel="0" collapsed="false">
      <c r="A34" s="47" t="s">
        <v>109</v>
      </c>
      <c r="B34" s="48" t="s">
        <v>189</v>
      </c>
      <c r="C34" s="29" t="s">
        <v>190</v>
      </c>
      <c r="D34" s="49" t="s">
        <v>280</v>
      </c>
      <c r="E34" s="28" t="n">
        <v>1</v>
      </c>
      <c r="F34" s="50" t="str">
        <f aca="false">IF(Master_Results!$D$34="","",IF(D34=Master_Results!$D$34,1,0))</f>
        <v/>
      </c>
      <c r="G34" s="50" t="str">
        <f aca="false">IF(F34="","",E34*F34)</f>
        <v/>
      </c>
    </row>
    <row r="35" customFormat="false" ht="15.75" hidden="false" customHeight="true" outlineLevel="0" collapsed="false">
      <c r="A35" s="47" t="s">
        <v>109</v>
      </c>
      <c r="B35" s="48" t="s">
        <v>191</v>
      </c>
      <c r="C35" s="29" t="s">
        <v>192</v>
      </c>
      <c r="D35" s="49" t="s">
        <v>281</v>
      </c>
      <c r="E35" s="28" t="n">
        <v>1</v>
      </c>
      <c r="F35" s="50" t="str">
        <f aca="false">IF(Master_Results!$D$35="","",IF(D35=Master_Results!$D$35,1,0))</f>
        <v/>
      </c>
      <c r="G35" s="50" t="str">
        <f aca="false">IF(F35="","",E35*F35)</f>
        <v/>
      </c>
    </row>
    <row r="36" customFormat="false" ht="19.5" hidden="false" customHeight="true" outlineLevel="0" collapsed="false">
      <c r="A36" s="31" t="s">
        <v>282</v>
      </c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>
      <c r="A37" s="51" t="s">
        <v>110</v>
      </c>
      <c r="B37" s="52" t="s">
        <v>194</v>
      </c>
      <c r="C37" s="33" t="s">
        <v>195</v>
      </c>
      <c r="D37" s="53" t="s">
        <v>252</v>
      </c>
      <c r="E37" s="32" t="n">
        <v>2</v>
      </c>
      <c r="F37" s="54" t="str">
        <f aca="false">IF(Master_Results!$D$37="","",IF(D37=Master_Results!$D$37,1,0))</f>
        <v/>
      </c>
      <c r="G37" s="54" t="str">
        <f aca="false">IF(F37="","",E37*F37)</f>
        <v/>
      </c>
    </row>
    <row r="38" customFormat="false" ht="15.75" hidden="false" customHeight="true" outlineLevel="0" collapsed="false">
      <c r="A38" s="51" t="s">
        <v>110</v>
      </c>
      <c r="B38" s="52" t="s">
        <v>196</v>
      </c>
      <c r="C38" s="33" t="s">
        <v>197</v>
      </c>
      <c r="D38" s="53" t="s">
        <v>254</v>
      </c>
      <c r="E38" s="32" t="n">
        <v>2</v>
      </c>
      <c r="F38" s="54" t="str">
        <f aca="false">IF(Master_Results!$D$38="","",IF(D38=Master_Results!$D$38,1,0))</f>
        <v/>
      </c>
      <c r="G38" s="54" t="str">
        <f aca="false">IF(F38="","",E38*F38)</f>
        <v/>
      </c>
    </row>
    <row r="39" customFormat="false" ht="15.75" hidden="false" customHeight="true" outlineLevel="0" collapsed="false">
      <c r="A39" s="51" t="s">
        <v>110</v>
      </c>
      <c r="B39" s="52" t="s">
        <v>198</v>
      </c>
      <c r="C39" s="33" t="s">
        <v>199</v>
      </c>
      <c r="D39" s="53" t="s">
        <v>256</v>
      </c>
      <c r="E39" s="32" t="n">
        <v>2</v>
      </c>
      <c r="F39" s="54" t="str">
        <f aca="false">IF(Master_Results!$D$39="","",IF(D39=Master_Results!$D$39,1,0))</f>
        <v/>
      </c>
      <c r="G39" s="54" t="str">
        <f aca="false">IF(F39="","",E39*F39)</f>
        <v/>
      </c>
    </row>
    <row r="40" customFormat="false" ht="15.75" hidden="false" customHeight="true" outlineLevel="0" collapsed="false">
      <c r="A40" s="51" t="s">
        <v>110</v>
      </c>
      <c r="B40" s="52" t="s">
        <v>200</v>
      </c>
      <c r="C40" s="33" t="s">
        <v>201</v>
      </c>
      <c r="D40" s="53" t="s">
        <v>258</v>
      </c>
      <c r="E40" s="32" t="n">
        <v>2</v>
      </c>
      <c r="F40" s="54" t="str">
        <f aca="false">IF(Master_Results!$D$40="","",IF(D40=Master_Results!$D$40,1,0))</f>
        <v/>
      </c>
      <c r="G40" s="54" t="str">
        <f aca="false">IF(F40="","",E40*F40)</f>
        <v/>
      </c>
    </row>
    <row r="41" customFormat="false" ht="15.75" hidden="false" customHeight="true" outlineLevel="0" collapsed="false">
      <c r="A41" s="51" t="s">
        <v>110</v>
      </c>
      <c r="B41" s="52" t="s">
        <v>202</v>
      </c>
      <c r="C41" s="33" t="s">
        <v>203</v>
      </c>
      <c r="D41" s="53" t="s">
        <v>259</v>
      </c>
      <c r="E41" s="32" t="n">
        <v>2</v>
      </c>
      <c r="F41" s="54" t="str">
        <f aca="false">IF(Master_Results!$D$41="","",IF(D41=Master_Results!$D$41,1,0))</f>
        <v/>
      </c>
      <c r="G41" s="54" t="str">
        <f aca="false">IF(F41="","",E41*F41)</f>
        <v/>
      </c>
    </row>
    <row r="42" customFormat="false" ht="15.75" hidden="false" customHeight="true" outlineLevel="0" collapsed="false">
      <c r="A42" s="51" t="s">
        <v>110</v>
      </c>
      <c r="B42" s="52" t="s">
        <v>204</v>
      </c>
      <c r="C42" s="33" t="s">
        <v>205</v>
      </c>
      <c r="D42" s="53" t="s">
        <v>261</v>
      </c>
      <c r="E42" s="32" t="n">
        <v>2</v>
      </c>
      <c r="F42" s="54" t="str">
        <f aca="false">IF(Master_Results!$D$42="","",IF(D42=Master_Results!$D$42,1,0))</f>
        <v/>
      </c>
      <c r="G42" s="54" t="str">
        <f aca="false">IF(F42="","",E42*F42)</f>
        <v/>
      </c>
    </row>
    <row r="43" customFormat="false" ht="15.75" hidden="false" customHeight="true" outlineLevel="0" collapsed="false">
      <c r="A43" s="51" t="s">
        <v>110</v>
      </c>
      <c r="B43" s="52" t="s">
        <v>206</v>
      </c>
      <c r="C43" s="33" t="s">
        <v>207</v>
      </c>
      <c r="D43" s="53" t="s">
        <v>152</v>
      </c>
      <c r="E43" s="32" t="n">
        <v>2</v>
      </c>
      <c r="F43" s="54" t="str">
        <f aca="false">IF(Master_Results!$D$43="","",IF(D43=Master_Results!$D$43,1,0))</f>
        <v/>
      </c>
      <c r="G43" s="54" t="str">
        <f aca="false">IF(F43="","",E43*F43)</f>
        <v/>
      </c>
    </row>
    <row r="44" customFormat="false" ht="15.75" hidden="false" customHeight="true" outlineLevel="0" collapsed="false">
      <c r="A44" s="51" t="s">
        <v>110</v>
      </c>
      <c r="B44" s="52" t="s">
        <v>208</v>
      </c>
      <c r="C44" s="33" t="s">
        <v>209</v>
      </c>
      <c r="D44" s="53" t="s">
        <v>265</v>
      </c>
      <c r="E44" s="32" t="n">
        <v>2</v>
      </c>
      <c r="F44" s="54" t="str">
        <f aca="false">IF(Master_Results!$D$44="","",IF(D44=Master_Results!$D$44,1,0))</f>
        <v/>
      </c>
      <c r="G44" s="54" t="str">
        <f aca="false">IF(F44="","",E44*F44)</f>
        <v/>
      </c>
    </row>
    <row r="45" customFormat="false" ht="15.75" hidden="false" customHeight="true" outlineLevel="0" collapsed="false">
      <c r="A45" s="51" t="s">
        <v>110</v>
      </c>
      <c r="B45" s="52" t="s">
        <v>210</v>
      </c>
      <c r="C45" s="33" t="s">
        <v>211</v>
      </c>
      <c r="D45" s="53" t="s">
        <v>266</v>
      </c>
      <c r="E45" s="32" t="n">
        <v>2</v>
      </c>
      <c r="F45" s="54" t="str">
        <f aca="false">IF(Master_Results!$D$45="","",IF(D45=Master_Results!$D$45,1,0))</f>
        <v/>
      </c>
      <c r="G45" s="54" t="str">
        <f aca="false">IF(F45="","",E45*F45)</f>
        <v/>
      </c>
    </row>
    <row r="46" customFormat="false" ht="15.75" hidden="false" customHeight="true" outlineLevel="0" collapsed="false">
      <c r="A46" s="51" t="s">
        <v>110</v>
      </c>
      <c r="B46" s="52" t="s">
        <v>212</v>
      </c>
      <c r="C46" s="33" t="s">
        <v>213</v>
      </c>
      <c r="D46" s="53" t="s">
        <v>269</v>
      </c>
      <c r="E46" s="32" t="n">
        <v>2</v>
      </c>
      <c r="F46" s="54" t="str">
        <f aca="false">IF(Master_Results!$D$46="","",IF(D46=Master_Results!$D$46,1,0))</f>
        <v/>
      </c>
      <c r="G46" s="54" t="str">
        <f aca="false">IF(F46="","",E46*F46)</f>
        <v/>
      </c>
    </row>
    <row r="47" customFormat="false" ht="15.75" hidden="false" customHeight="true" outlineLevel="0" collapsed="false">
      <c r="A47" s="51" t="s">
        <v>110</v>
      </c>
      <c r="B47" s="52" t="s">
        <v>214</v>
      </c>
      <c r="C47" s="33" t="s">
        <v>215</v>
      </c>
      <c r="D47" s="53" t="s">
        <v>271</v>
      </c>
      <c r="E47" s="32" t="n">
        <v>2</v>
      </c>
      <c r="F47" s="54" t="str">
        <f aca="false">IF(Master_Results!$D$47="","",IF(D47=Master_Results!$D$47,1,0))</f>
        <v/>
      </c>
      <c r="G47" s="54" t="str">
        <f aca="false">IF(F47="","",E47*F47)</f>
        <v/>
      </c>
    </row>
    <row r="48" customFormat="false" ht="15.75" hidden="false" customHeight="true" outlineLevel="0" collapsed="false">
      <c r="A48" s="51" t="s">
        <v>110</v>
      </c>
      <c r="B48" s="52" t="s">
        <v>216</v>
      </c>
      <c r="C48" s="33" t="s">
        <v>217</v>
      </c>
      <c r="D48" s="53" t="s">
        <v>273</v>
      </c>
      <c r="E48" s="32" t="n">
        <v>2</v>
      </c>
      <c r="F48" s="54" t="str">
        <f aca="false">IF(Master_Results!$D$48="","",IF(D48=Master_Results!$D$48,1,0))</f>
        <v/>
      </c>
      <c r="G48" s="54" t="str">
        <f aca="false">IF(F48="","",E48*F48)</f>
        <v/>
      </c>
    </row>
    <row r="49" customFormat="false" ht="15.75" hidden="false" customHeight="true" outlineLevel="0" collapsed="false">
      <c r="A49" s="51" t="s">
        <v>110</v>
      </c>
      <c r="B49" s="52" t="s">
        <v>218</v>
      </c>
      <c r="C49" s="33" t="s">
        <v>219</v>
      </c>
      <c r="D49" s="53" t="s">
        <v>274</v>
      </c>
      <c r="E49" s="32" t="n">
        <v>2</v>
      </c>
      <c r="F49" s="54" t="str">
        <f aca="false">IF(Master_Results!$D$49="","",IF(D49=Master_Results!$D$49,1,0))</f>
        <v/>
      </c>
      <c r="G49" s="54" t="str">
        <f aca="false">IF(F49="","",E49*F49)</f>
        <v/>
      </c>
    </row>
    <row r="50" customFormat="false" ht="15.75" hidden="false" customHeight="true" outlineLevel="0" collapsed="false">
      <c r="A50" s="51" t="s">
        <v>110</v>
      </c>
      <c r="B50" s="52" t="s">
        <v>220</v>
      </c>
      <c r="C50" s="33" t="s">
        <v>221</v>
      </c>
      <c r="D50" s="53" t="s">
        <v>277</v>
      </c>
      <c r="E50" s="32" t="n">
        <v>2</v>
      </c>
      <c r="F50" s="54" t="str">
        <f aca="false">IF(Master_Results!$D$50="","",IF(D50=Master_Results!$D$50,1,0))</f>
        <v/>
      </c>
      <c r="G50" s="54" t="str">
        <f aca="false">IF(F50="","",E50*F50)</f>
        <v/>
      </c>
    </row>
    <row r="51" customFormat="false" ht="15.75" hidden="false" customHeight="true" outlineLevel="0" collapsed="false">
      <c r="A51" s="51" t="s">
        <v>110</v>
      </c>
      <c r="B51" s="52" t="s">
        <v>222</v>
      </c>
      <c r="C51" s="33" t="s">
        <v>223</v>
      </c>
      <c r="D51" s="53" t="s">
        <v>278</v>
      </c>
      <c r="E51" s="32" t="n">
        <v>2</v>
      </c>
      <c r="F51" s="54" t="str">
        <f aca="false">IF(Master_Results!$D$51="","",IF(D51=Master_Results!$D$51,1,0))</f>
        <v/>
      </c>
      <c r="G51" s="54" t="str">
        <f aca="false">IF(F51="","",E51*F51)</f>
        <v/>
      </c>
    </row>
    <row r="52" customFormat="false" ht="15.75" hidden="false" customHeight="true" outlineLevel="0" collapsed="false">
      <c r="A52" s="51" t="s">
        <v>110</v>
      </c>
      <c r="B52" s="52" t="s">
        <v>224</v>
      </c>
      <c r="C52" s="33" t="s">
        <v>225</v>
      </c>
      <c r="D52" s="53" t="s">
        <v>281</v>
      </c>
      <c r="E52" s="32" t="n">
        <v>2</v>
      </c>
      <c r="F52" s="54" t="str">
        <f aca="false">IF(Master_Results!$D$52="","",IF(D52=Master_Results!$D$52,1,0))</f>
        <v/>
      </c>
      <c r="G52" s="54" t="str">
        <f aca="false">IF(F52="","",E52*F52)</f>
        <v/>
      </c>
    </row>
    <row r="53" customFormat="false" ht="19.5" hidden="false" customHeight="true" outlineLevel="0" collapsed="false">
      <c r="A53" s="34" t="s">
        <v>284</v>
      </c>
      <c r="B53" s="34"/>
      <c r="C53" s="34"/>
      <c r="D53" s="34"/>
      <c r="E53" s="34"/>
      <c r="F53" s="34"/>
      <c r="G53" s="34"/>
      <c r="H53" s="34"/>
    </row>
    <row r="54" customFormat="false" ht="15.75" hidden="false" customHeight="true" outlineLevel="0" collapsed="false">
      <c r="A54" s="55" t="s">
        <v>111</v>
      </c>
      <c r="B54" s="56" t="s">
        <v>227</v>
      </c>
      <c r="C54" s="36" t="s">
        <v>195</v>
      </c>
      <c r="D54" s="57" t="s">
        <v>252</v>
      </c>
      <c r="E54" s="35" t="n">
        <v>4</v>
      </c>
      <c r="F54" s="58" t="str">
        <f aca="false">IF(Master_Results!$D$54="","",IF(D54=Master_Results!$D$54,1,0))</f>
        <v/>
      </c>
      <c r="G54" s="58" t="str">
        <f aca="false">IF(F54="","",E54*F54)</f>
        <v/>
      </c>
    </row>
    <row r="55" customFormat="false" ht="15.75" hidden="false" customHeight="true" outlineLevel="0" collapsed="false">
      <c r="A55" s="55" t="s">
        <v>111</v>
      </c>
      <c r="B55" s="56" t="s">
        <v>228</v>
      </c>
      <c r="C55" s="36" t="s">
        <v>197</v>
      </c>
      <c r="D55" s="57" t="s">
        <v>258</v>
      </c>
      <c r="E55" s="35" t="n">
        <v>4</v>
      </c>
      <c r="F55" s="58" t="str">
        <f aca="false">IF(Master_Results!$D$55="","",IF(D55=Master_Results!$D$55,1,0))</f>
        <v/>
      </c>
      <c r="G55" s="58" t="str">
        <f aca="false">IF(F55="","",E55*F55)</f>
        <v/>
      </c>
    </row>
    <row r="56" customFormat="false" ht="15.75" hidden="false" customHeight="true" outlineLevel="0" collapsed="false">
      <c r="A56" s="55" t="s">
        <v>111</v>
      </c>
      <c r="B56" s="56" t="s">
        <v>229</v>
      </c>
      <c r="C56" s="36" t="s">
        <v>199</v>
      </c>
      <c r="D56" s="57" t="s">
        <v>259</v>
      </c>
      <c r="E56" s="35" t="n">
        <v>4</v>
      </c>
      <c r="F56" s="58" t="str">
        <f aca="false">IF(Master_Results!$D$56="","",IF(D56=Master_Results!$D$56,1,0))</f>
        <v/>
      </c>
      <c r="G56" s="58" t="str">
        <f aca="false">IF(F56="","",E56*F56)</f>
        <v/>
      </c>
    </row>
    <row r="57" customFormat="false" ht="15.75" hidden="false" customHeight="true" outlineLevel="0" collapsed="false">
      <c r="A57" s="55" t="s">
        <v>111</v>
      </c>
      <c r="B57" s="56" t="s">
        <v>230</v>
      </c>
      <c r="C57" s="36" t="s">
        <v>201</v>
      </c>
      <c r="D57" s="57" t="s">
        <v>265</v>
      </c>
      <c r="E57" s="35" t="n">
        <v>4</v>
      </c>
      <c r="F57" s="58" t="str">
        <f aca="false">IF(Master_Results!$D$57="","",IF(D57=Master_Results!$D$57,1,0))</f>
        <v/>
      </c>
      <c r="G57" s="58" t="str">
        <f aca="false">IF(F57="","",E57*F57)</f>
        <v/>
      </c>
    </row>
    <row r="58" customFormat="false" ht="15.75" hidden="false" customHeight="true" outlineLevel="0" collapsed="false">
      <c r="A58" s="55" t="s">
        <v>111</v>
      </c>
      <c r="B58" s="56" t="s">
        <v>231</v>
      </c>
      <c r="C58" s="36" t="s">
        <v>203</v>
      </c>
      <c r="D58" s="57" t="s">
        <v>266</v>
      </c>
      <c r="E58" s="35" t="n">
        <v>4</v>
      </c>
      <c r="F58" s="58" t="str">
        <f aca="false">IF(Master_Results!$D$58="","",IF(D58=Master_Results!$D$58,1,0))</f>
        <v/>
      </c>
      <c r="G58" s="58" t="str">
        <f aca="false">IF(F58="","",E58*F58)</f>
        <v/>
      </c>
    </row>
    <row r="59" customFormat="false" ht="15.75" hidden="false" customHeight="true" outlineLevel="0" collapsed="false">
      <c r="A59" s="55" t="s">
        <v>111</v>
      </c>
      <c r="B59" s="56" t="s">
        <v>232</v>
      </c>
      <c r="C59" s="36" t="s">
        <v>205</v>
      </c>
      <c r="D59" s="57" t="s">
        <v>271</v>
      </c>
      <c r="E59" s="35" t="n">
        <v>4</v>
      </c>
      <c r="F59" s="58" t="str">
        <f aca="false">IF(Master_Results!$D$59="","",IF(D59=Master_Results!$D$59,1,0))</f>
        <v/>
      </c>
      <c r="G59" s="58" t="str">
        <f aca="false">IF(F59="","",E59*F59)</f>
        <v/>
      </c>
    </row>
    <row r="60" customFormat="false" ht="15.75" hidden="false" customHeight="true" outlineLevel="0" collapsed="false">
      <c r="A60" s="55" t="s">
        <v>111</v>
      </c>
      <c r="B60" s="56" t="s">
        <v>233</v>
      </c>
      <c r="C60" s="36" t="s">
        <v>207</v>
      </c>
      <c r="D60" s="57" t="s">
        <v>274</v>
      </c>
      <c r="E60" s="35" t="n">
        <v>4</v>
      </c>
      <c r="F60" s="58" t="str">
        <f aca="false">IF(Master_Results!$D$60="","",IF(D60=Master_Results!$D$60,1,0))</f>
        <v/>
      </c>
      <c r="G60" s="58" t="str">
        <f aca="false">IF(F60="","",E60*F60)</f>
        <v/>
      </c>
    </row>
    <row r="61" customFormat="false" ht="15.75" hidden="false" customHeight="true" outlineLevel="0" collapsed="false">
      <c r="A61" s="55" t="s">
        <v>111</v>
      </c>
      <c r="B61" s="56" t="s">
        <v>234</v>
      </c>
      <c r="C61" s="36" t="s">
        <v>209</v>
      </c>
      <c r="D61" s="57" t="s">
        <v>277</v>
      </c>
      <c r="E61" s="35" t="n">
        <v>4</v>
      </c>
      <c r="F61" s="58" t="str">
        <f aca="false">IF(Master_Results!$D$61="","",IF(D61=Master_Results!$D$61,1,0))</f>
        <v/>
      </c>
      <c r="G61" s="58" t="str">
        <f aca="false">IF(F61="","",E61*F61)</f>
        <v/>
      </c>
    </row>
    <row r="62" customFormat="false" ht="19.5" hidden="false" customHeight="true" outlineLevel="0" collapsed="false">
      <c r="A62" s="37" t="s">
        <v>285</v>
      </c>
      <c r="B62" s="37"/>
      <c r="C62" s="37"/>
      <c r="D62" s="37"/>
      <c r="E62" s="37"/>
      <c r="F62" s="37"/>
      <c r="G62" s="37"/>
      <c r="H62" s="37"/>
    </row>
    <row r="63" customFormat="false" ht="15.75" hidden="false" customHeight="true" outlineLevel="0" collapsed="false">
      <c r="A63" s="59" t="s">
        <v>112</v>
      </c>
      <c r="B63" s="60" t="s">
        <v>236</v>
      </c>
      <c r="C63" s="39" t="s">
        <v>195</v>
      </c>
      <c r="D63" s="61" t="s">
        <v>252</v>
      </c>
      <c r="E63" s="38" t="n">
        <v>8</v>
      </c>
      <c r="F63" s="62" t="str">
        <f aca="false">IF(Master_Results!$D$63="","",IF(D63=Master_Results!$D$63,1,0))</f>
        <v/>
      </c>
      <c r="G63" s="62" t="str">
        <f aca="false">IF(F63="","",E63*F63)</f>
        <v/>
      </c>
    </row>
    <row r="64" customFormat="false" ht="15.75" hidden="false" customHeight="true" outlineLevel="0" collapsed="false">
      <c r="A64" s="59" t="s">
        <v>112</v>
      </c>
      <c r="B64" s="60" t="s">
        <v>237</v>
      </c>
      <c r="C64" s="39" t="s">
        <v>197</v>
      </c>
      <c r="D64" s="61" t="s">
        <v>265</v>
      </c>
      <c r="E64" s="38" t="n">
        <v>8</v>
      </c>
      <c r="F64" s="62" t="str">
        <f aca="false">IF(Master_Results!$D$64="","",IF(D64=Master_Results!$D$64,1,0))</f>
        <v/>
      </c>
      <c r="G64" s="62" t="str">
        <f aca="false">IF(F64="","",E64*F64)</f>
        <v/>
      </c>
    </row>
    <row r="65" customFormat="false" ht="15.75" hidden="false" customHeight="true" outlineLevel="0" collapsed="false">
      <c r="A65" s="59" t="s">
        <v>112</v>
      </c>
      <c r="B65" s="60" t="s">
        <v>238</v>
      </c>
      <c r="C65" s="39" t="s">
        <v>199</v>
      </c>
      <c r="D65" s="61" t="s">
        <v>266</v>
      </c>
      <c r="E65" s="38" t="n">
        <v>8</v>
      </c>
      <c r="F65" s="62" t="str">
        <f aca="false">IF(Master_Results!$D$65="","",IF(D65=Master_Results!$D$65,1,0))</f>
        <v/>
      </c>
      <c r="G65" s="62" t="str">
        <f aca="false">IF(F65="","",E65*F65)</f>
        <v/>
      </c>
    </row>
    <row r="66" customFormat="false" ht="15.75" hidden="false" customHeight="true" outlineLevel="0" collapsed="false">
      <c r="A66" s="59" t="s">
        <v>112</v>
      </c>
      <c r="B66" s="60" t="s">
        <v>239</v>
      </c>
      <c r="C66" s="39" t="s">
        <v>201</v>
      </c>
      <c r="D66" s="61" t="s">
        <v>274</v>
      </c>
      <c r="E66" s="38" t="n">
        <v>8</v>
      </c>
      <c r="F66" s="62" t="str">
        <f aca="false">IF(Master_Results!$D$66="","",IF(D66=Master_Results!$D$66,1,0))</f>
        <v/>
      </c>
      <c r="G66" s="62" t="str">
        <f aca="false">IF(F66="","",E66*F66)</f>
        <v/>
      </c>
    </row>
    <row r="67" customFormat="false" ht="19.5" hidden="false" customHeight="true" outlineLevel="0" collapsed="false">
      <c r="A67" s="40" t="s">
        <v>286</v>
      </c>
      <c r="B67" s="40"/>
      <c r="C67" s="40"/>
      <c r="D67" s="40"/>
      <c r="E67" s="40"/>
      <c r="F67" s="40"/>
      <c r="G67" s="40"/>
      <c r="H67" s="40"/>
    </row>
    <row r="68" customFormat="false" ht="15.75" hidden="false" customHeight="true" outlineLevel="0" collapsed="false">
      <c r="A68" s="63" t="s">
        <v>241</v>
      </c>
      <c r="B68" s="64" t="s">
        <v>242</v>
      </c>
      <c r="C68" s="42" t="s">
        <v>195</v>
      </c>
      <c r="D68" s="65" t="s">
        <v>252</v>
      </c>
      <c r="E68" s="41" t="n">
        <v>16</v>
      </c>
      <c r="F68" s="66" t="str">
        <f aca="false">IF(Master_Results!$D$68="","",IF(D68=Master_Results!$D$68,1,0))</f>
        <v/>
      </c>
      <c r="G68" s="66" t="str">
        <f aca="false">IF(F68="","",E68*F68)</f>
        <v/>
      </c>
    </row>
    <row r="69" customFormat="false" ht="15.75" hidden="false" customHeight="true" outlineLevel="0" collapsed="false">
      <c r="A69" s="63" t="s">
        <v>241</v>
      </c>
      <c r="B69" s="64" t="s">
        <v>243</v>
      </c>
      <c r="C69" s="42" t="s">
        <v>197</v>
      </c>
      <c r="D69" s="65" t="s">
        <v>266</v>
      </c>
      <c r="E69" s="41" t="n">
        <v>16</v>
      </c>
      <c r="F69" s="66" t="str">
        <f aca="false">IF(Master_Results!$D$69="","",IF(D69=Master_Results!$D$69,1,0))</f>
        <v/>
      </c>
      <c r="G69" s="66" t="str">
        <f aca="false">IF(F69="","",E69*F69)</f>
        <v/>
      </c>
    </row>
    <row r="70" customFormat="false" ht="19.5" hidden="false" customHeight="true" outlineLevel="0" collapsed="false">
      <c r="A70" s="43" t="s">
        <v>287</v>
      </c>
      <c r="B70" s="43"/>
      <c r="C70" s="43"/>
      <c r="D70" s="43"/>
      <c r="E70" s="43"/>
      <c r="F70" s="43"/>
      <c r="G70" s="43"/>
      <c r="H70" s="43"/>
    </row>
    <row r="71" customFormat="false" ht="15.75" hidden="false" customHeight="true" outlineLevel="0" collapsed="false">
      <c r="A71" s="67" t="s">
        <v>114</v>
      </c>
      <c r="B71" s="68" t="s">
        <v>245</v>
      </c>
      <c r="C71" s="45" t="s">
        <v>195</v>
      </c>
      <c r="D71" s="69" t="s">
        <v>252</v>
      </c>
      <c r="E71" s="44" t="n">
        <v>32</v>
      </c>
      <c r="F71" s="70" t="str">
        <f aca="false">IF(Master_Results!$D$71="","",IF(D71=Master_Results!$D$71,1,0))</f>
        <v/>
      </c>
      <c r="G71" s="70" t="str">
        <f aca="false">IF(F71="","",E71*F71)</f>
        <v/>
      </c>
    </row>
    <row r="73" customFormat="false" ht="25.5" hidden="false" customHeight="true" outlineLevel="0" collapsed="false">
      <c r="A73" s="71" t="s">
        <v>288</v>
      </c>
      <c r="B73" s="71"/>
      <c r="C73" s="71"/>
      <c r="D73" s="71"/>
      <c r="E73" s="71"/>
      <c r="F73" s="72" t="s">
        <v>289</v>
      </c>
      <c r="G73" s="73" t="n">
        <f aca="false">SUMIF(F3:F71,1,E3:E71)</f>
        <v>1</v>
      </c>
      <c r="H73" s="74" t="n">
        <f aca="false">SUMIF(F3:F71,"",E3:E71)</f>
        <v>190</v>
      </c>
    </row>
  </sheetData>
  <mergeCells count="8">
    <mergeCell ref="A1:H1"/>
    <mergeCell ref="A3:H3"/>
    <mergeCell ref="A36:H36"/>
    <mergeCell ref="A53:H53"/>
    <mergeCell ref="A62:H62"/>
    <mergeCell ref="A67:H67"/>
    <mergeCell ref="A70:H70"/>
    <mergeCell ref="A73:E73"/>
  </mergeCells>
  <conditionalFormatting sqref="A3:G71">
    <cfRule type="expression" priority="2" aboveAverage="0" equalAverage="0" bottom="0" percent="0" rank="0" text="" dxfId="3">
      <formula>$F3=1</formula>
    </cfRule>
    <cfRule type="expression" priority="3" aboveAverage="0" equalAverage="0" bottom="0" percent="0" rank="0" text="" dxfId="4">
      <formula>$F3=0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18"/>
    <col collapsed="false" customWidth="true" hidden="false" outlineLevel="0" max="5" min="5" style="9" width="9"/>
    <col collapsed="false" customWidth="true" hidden="false" outlineLevel="0" max="6" min="6" style="9" width="10"/>
    <col collapsed="false" customWidth="true" hidden="false" outlineLevel="0" max="7" min="7" style="9" width="11"/>
    <col collapsed="false" customWidth="true" hidden="false" outlineLevel="0" max="8" min="8" style="9" width="12"/>
  </cols>
  <sheetData>
    <row r="1" customFormat="false" ht="30" hidden="false" customHeight="true" outlineLevel="0" collapsed="false">
      <c r="A1" s="26" t="s">
        <v>300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247</v>
      </c>
      <c r="E2" s="12" t="s">
        <v>248</v>
      </c>
      <c r="F2" s="12" t="s">
        <v>249</v>
      </c>
      <c r="G2" s="12" t="s">
        <v>250</v>
      </c>
      <c r="H2" s="46"/>
    </row>
    <row r="3" customFormat="false" ht="19.5" hidden="false" customHeight="true" outlineLevel="0" collapsed="false">
      <c r="A3" s="27" t="s">
        <v>251</v>
      </c>
      <c r="B3" s="27"/>
      <c r="C3" s="27"/>
      <c r="D3" s="27"/>
      <c r="E3" s="27"/>
      <c r="F3" s="27"/>
      <c r="G3" s="27"/>
      <c r="H3" s="27"/>
    </row>
    <row r="4" customFormat="false" ht="15.75" hidden="false" customHeight="true" outlineLevel="0" collapsed="false">
      <c r="A4" s="47" t="s">
        <v>109</v>
      </c>
      <c r="B4" s="48" t="s">
        <v>127</v>
      </c>
      <c r="C4" s="29" t="s">
        <v>128</v>
      </c>
      <c r="D4" s="49" t="s">
        <v>252</v>
      </c>
      <c r="E4" s="28" t="n">
        <v>1</v>
      </c>
      <c r="F4" s="50" t="str">
        <f aca="false">IF(Master_Results!$D$4="","",IF(D4=Master_Results!$D$4,1,0))</f>
        <v/>
      </c>
      <c r="G4" s="50" t="str">
        <f aca="false">IF(F4="","",E4*F4)</f>
        <v/>
      </c>
    </row>
    <row r="5" customFormat="false" ht="15.75" hidden="false" customHeight="true" outlineLevel="0" collapsed="false">
      <c r="A5" s="47" t="s">
        <v>109</v>
      </c>
      <c r="B5" s="48" t="s">
        <v>129</v>
      </c>
      <c r="C5" s="29" t="s">
        <v>130</v>
      </c>
      <c r="D5" s="49" t="s">
        <v>131</v>
      </c>
      <c r="E5" s="28" t="n">
        <v>1</v>
      </c>
      <c r="F5" s="50" t="n">
        <f aca="false">IF(Master_Results!$D$5="","",IF(D5=Master_Results!$D$5,1,0))</f>
        <v>1</v>
      </c>
      <c r="G5" s="50" t="n">
        <f aca="false">IF(F5="","",E5*F5)</f>
        <v>1</v>
      </c>
    </row>
    <row r="6" customFormat="false" ht="15.75" hidden="false" customHeight="true" outlineLevel="0" collapsed="false">
      <c r="A6" s="47" t="s">
        <v>109</v>
      </c>
      <c r="B6" s="48" t="s">
        <v>132</v>
      </c>
      <c r="C6" s="29" t="s">
        <v>133</v>
      </c>
      <c r="D6" s="49" t="s">
        <v>253</v>
      </c>
      <c r="E6" s="28" t="n">
        <v>1</v>
      </c>
      <c r="F6" s="50" t="str">
        <f aca="false">IF(Master_Results!$D$6="","",IF(D6=Master_Results!$D$6,1,0))</f>
        <v/>
      </c>
      <c r="G6" s="50" t="str">
        <f aca="false">IF(F6="","",E6*F6)</f>
        <v/>
      </c>
    </row>
    <row r="7" customFormat="false" ht="15.75" hidden="false" customHeight="true" outlineLevel="0" collapsed="false">
      <c r="A7" s="47" t="s">
        <v>109</v>
      </c>
      <c r="B7" s="48" t="s">
        <v>134</v>
      </c>
      <c r="C7" s="29" t="s">
        <v>135</v>
      </c>
      <c r="D7" s="49" t="s">
        <v>254</v>
      </c>
      <c r="E7" s="28" t="n">
        <v>1</v>
      </c>
      <c r="F7" s="50" t="str">
        <f aca="false">IF(Master_Results!$D$7="","",IF(D7=Master_Results!$D$7,1,0))</f>
        <v/>
      </c>
      <c r="G7" s="50" t="str">
        <f aca="false">IF(F7="","",E7*F7)</f>
        <v/>
      </c>
    </row>
    <row r="8" customFormat="false" ht="15.75" hidden="false" customHeight="true" outlineLevel="0" collapsed="false">
      <c r="A8" s="47" t="s">
        <v>109</v>
      </c>
      <c r="B8" s="48" t="s">
        <v>136</v>
      </c>
      <c r="C8" s="29" t="s">
        <v>137</v>
      </c>
      <c r="D8" s="49" t="s">
        <v>255</v>
      </c>
      <c r="E8" s="28" t="n">
        <v>1</v>
      </c>
      <c r="F8" s="50" t="str">
        <f aca="false">IF(Master_Results!$D$8="","",IF(D8=Master_Results!$D$8,1,0))</f>
        <v/>
      </c>
      <c r="G8" s="50" t="str">
        <f aca="false">IF(F8="","",E8*F8)</f>
        <v/>
      </c>
    </row>
    <row r="9" customFormat="false" ht="15.75" hidden="false" customHeight="true" outlineLevel="0" collapsed="false">
      <c r="A9" s="47" t="s">
        <v>109</v>
      </c>
      <c r="B9" s="48" t="s">
        <v>138</v>
      </c>
      <c r="C9" s="29" t="s">
        <v>139</v>
      </c>
      <c r="D9" s="49" t="s">
        <v>301</v>
      </c>
      <c r="E9" s="28" t="n">
        <v>1</v>
      </c>
      <c r="F9" s="50" t="str">
        <f aca="false">IF(Master_Results!$D$9="","",IF(D9=Master_Results!$D$9,1,0))</f>
        <v/>
      </c>
      <c r="G9" s="50" t="str">
        <f aca="false">IF(F9="","",E9*F9)</f>
        <v/>
      </c>
    </row>
    <row r="10" customFormat="false" ht="15.75" hidden="false" customHeight="true" outlineLevel="0" collapsed="false">
      <c r="A10" s="47" t="s">
        <v>109</v>
      </c>
      <c r="B10" s="48" t="s">
        <v>140</v>
      </c>
      <c r="C10" s="29" t="s">
        <v>141</v>
      </c>
      <c r="D10" s="49" t="s">
        <v>257</v>
      </c>
      <c r="E10" s="28" t="n">
        <v>1</v>
      </c>
      <c r="F10" s="50" t="str">
        <f aca="false">IF(Master_Results!$D$10="","",IF(D10=Master_Results!$D$10,1,0))</f>
        <v/>
      </c>
      <c r="G10" s="50" t="str">
        <f aca="false">IF(F10="","",E10*F10)</f>
        <v/>
      </c>
    </row>
    <row r="11" customFormat="false" ht="15.75" hidden="false" customHeight="true" outlineLevel="0" collapsed="false">
      <c r="A11" s="47" t="s">
        <v>109</v>
      </c>
      <c r="B11" s="48" t="s">
        <v>142</v>
      </c>
      <c r="C11" s="29" t="s">
        <v>143</v>
      </c>
      <c r="D11" s="49" t="s">
        <v>258</v>
      </c>
      <c r="E11" s="28" t="n">
        <v>1</v>
      </c>
      <c r="F11" s="50" t="str">
        <f aca="false">IF(Master_Results!$D$11="","",IF(D11=Master_Results!$D$11,1,0))</f>
        <v/>
      </c>
      <c r="G11" s="50" t="str">
        <f aca="false">IF(F11="","",E11*F11)</f>
        <v/>
      </c>
    </row>
    <row r="12" customFormat="false" ht="15.75" hidden="false" customHeight="true" outlineLevel="0" collapsed="false">
      <c r="A12" s="47" t="s">
        <v>109</v>
      </c>
      <c r="B12" s="48" t="s">
        <v>144</v>
      </c>
      <c r="C12" s="29" t="s">
        <v>145</v>
      </c>
      <c r="D12" s="49" t="s">
        <v>259</v>
      </c>
      <c r="E12" s="28" t="n">
        <v>1</v>
      </c>
      <c r="F12" s="50" t="str">
        <f aca="false">IF(Master_Results!$D$12="","",IF(D12=Master_Results!$D$12,1,0))</f>
        <v/>
      </c>
      <c r="G12" s="50" t="str">
        <f aca="false">IF(F12="","",E12*F12)</f>
        <v/>
      </c>
    </row>
    <row r="13" customFormat="false" ht="15.75" hidden="false" customHeight="true" outlineLevel="0" collapsed="false">
      <c r="A13" s="47" t="s">
        <v>109</v>
      </c>
      <c r="B13" s="48" t="s">
        <v>146</v>
      </c>
      <c r="C13" s="29" t="s">
        <v>147</v>
      </c>
      <c r="D13" s="49" t="s">
        <v>260</v>
      </c>
      <c r="E13" s="28" t="n">
        <v>1</v>
      </c>
      <c r="F13" s="50" t="str">
        <f aca="false">IF(Master_Results!$D$13="","",IF(D13=Master_Results!$D$13,1,0))</f>
        <v/>
      </c>
      <c r="G13" s="50" t="str">
        <f aca="false">IF(F13="","",E13*F13)</f>
        <v/>
      </c>
    </row>
    <row r="14" customFormat="false" ht="15.75" hidden="false" customHeight="true" outlineLevel="0" collapsed="false">
      <c r="A14" s="47" t="s">
        <v>109</v>
      </c>
      <c r="B14" s="48" t="s">
        <v>148</v>
      </c>
      <c r="C14" s="29" t="s">
        <v>149</v>
      </c>
      <c r="D14" s="49" t="s">
        <v>261</v>
      </c>
      <c r="E14" s="28" t="n">
        <v>1</v>
      </c>
      <c r="F14" s="50" t="str">
        <f aca="false">IF(Master_Results!$D$14="","",IF(D14=Master_Results!$D$14,1,0))</f>
        <v/>
      </c>
      <c r="G14" s="50" t="str">
        <f aca="false">IF(F14="","",E14*F14)</f>
        <v/>
      </c>
    </row>
    <row r="15" customFormat="false" ht="15.75" hidden="false" customHeight="true" outlineLevel="0" collapsed="false">
      <c r="A15" s="47" t="s">
        <v>109</v>
      </c>
      <c r="B15" s="48" t="s">
        <v>150</v>
      </c>
      <c r="C15" s="29" t="s">
        <v>151</v>
      </c>
      <c r="D15" s="49" t="s">
        <v>152</v>
      </c>
      <c r="E15" s="28" t="n">
        <v>1</v>
      </c>
      <c r="F15" s="50" t="n">
        <f aca="false">IF(Master_Results!$D$15="","",IF(D15=Master_Results!$D$15,1,0))</f>
        <v>1</v>
      </c>
      <c r="G15" s="50" t="n">
        <f aca="false">IF(F15="","",E15*F15)</f>
        <v>1</v>
      </c>
    </row>
    <row r="16" customFormat="false" ht="15.75" hidden="false" customHeight="true" outlineLevel="0" collapsed="false">
      <c r="A16" s="47" t="s">
        <v>109</v>
      </c>
      <c r="B16" s="48" t="s">
        <v>153</v>
      </c>
      <c r="C16" s="29" t="s">
        <v>154</v>
      </c>
      <c r="D16" s="49" t="s">
        <v>302</v>
      </c>
      <c r="E16" s="28" t="n">
        <v>1</v>
      </c>
      <c r="F16" s="50" t="str">
        <f aca="false">IF(Master_Results!$D$16="","",IF(D16=Master_Results!$D$16,1,0))</f>
        <v/>
      </c>
      <c r="G16" s="50" t="str">
        <f aca="false">IF(F16="","",E16*F16)</f>
        <v/>
      </c>
    </row>
    <row r="17" customFormat="false" ht="15.75" hidden="false" customHeight="true" outlineLevel="0" collapsed="false">
      <c r="A17" s="47" t="s">
        <v>109</v>
      </c>
      <c r="B17" s="48" t="s">
        <v>155</v>
      </c>
      <c r="C17" s="29" t="s">
        <v>156</v>
      </c>
      <c r="D17" s="49" t="s">
        <v>263</v>
      </c>
      <c r="E17" s="28" t="n">
        <v>1</v>
      </c>
      <c r="F17" s="50" t="str">
        <f aca="false">IF(Master_Results!$D$17="","",IF(D17=Master_Results!$D$17,1,0))</f>
        <v/>
      </c>
      <c r="G17" s="50" t="str">
        <f aca="false">IF(F17="","",E17*F17)</f>
        <v/>
      </c>
    </row>
    <row r="18" customFormat="false" ht="15.75" hidden="false" customHeight="true" outlineLevel="0" collapsed="false">
      <c r="A18" s="47" t="s">
        <v>109</v>
      </c>
      <c r="B18" s="48" t="s">
        <v>157</v>
      </c>
      <c r="C18" s="29" t="s">
        <v>158</v>
      </c>
      <c r="D18" s="49" t="s">
        <v>294</v>
      </c>
      <c r="E18" s="28" t="n">
        <v>1</v>
      </c>
      <c r="F18" s="50" t="str">
        <f aca="false">IF(Master_Results!$D$18="","",IF(D18=Master_Results!$D$18,1,0))</f>
        <v/>
      </c>
      <c r="G18" s="50" t="str">
        <f aca="false">IF(F18="","",E18*F18)</f>
        <v/>
      </c>
    </row>
    <row r="19" customFormat="false" ht="15.75" hidden="false" customHeight="true" outlineLevel="0" collapsed="false">
      <c r="A19" s="47" t="s">
        <v>109</v>
      </c>
      <c r="B19" s="48" t="s">
        <v>159</v>
      </c>
      <c r="C19" s="29" t="s">
        <v>160</v>
      </c>
      <c r="D19" s="49" t="s">
        <v>265</v>
      </c>
      <c r="E19" s="28" t="n">
        <v>1</v>
      </c>
      <c r="F19" s="50" t="str">
        <f aca="false">IF(Master_Results!$D$19="","",IF(D19=Master_Results!$D$19,1,0))</f>
        <v/>
      </c>
      <c r="G19" s="50" t="str">
        <f aca="false">IF(F19="","",E19*F19)</f>
        <v/>
      </c>
    </row>
    <row r="20" customFormat="false" ht="15.75" hidden="false" customHeight="true" outlineLevel="0" collapsed="false">
      <c r="A20" s="47" t="s">
        <v>109</v>
      </c>
      <c r="B20" s="48" t="s">
        <v>161</v>
      </c>
      <c r="C20" s="29" t="s">
        <v>162</v>
      </c>
      <c r="D20" s="49" t="s">
        <v>266</v>
      </c>
      <c r="E20" s="28" t="n">
        <v>1</v>
      </c>
      <c r="F20" s="50" t="str">
        <f aca="false">IF(Master_Results!$D$20="","",IF(D20=Master_Results!$D$20,1,0))</f>
        <v/>
      </c>
      <c r="G20" s="50" t="str">
        <f aca="false">IF(F20="","",E20*F20)</f>
        <v/>
      </c>
    </row>
    <row r="21" customFormat="false" ht="15.75" hidden="false" customHeight="true" outlineLevel="0" collapsed="false">
      <c r="A21" s="47" t="s">
        <v>109</v>
      </c>
      <c r="B21" s="48" t="s">
        <v>163</v>
      </c>
      <c r="C21" s="29" t="s">
        <v>164</v>
      </c>
      <c r="D21" s="49" t="s">
        <v>267</v>
      </c>
      <c r="E21" s="28" t="n">
        <v>1</v>
      </c>
      <c r="F21" s="50" t="str">
        <f aca="false">IF(Master_Results!$D$21="","",IF(D21=Master_Results!$D$21,1,0))</f>
        <v/>
      </c>
      <c r="G21" s="50" t="str">
        <f aca="false">IF(F21="","",E21*F21)</f>
        <v/>
      </c>
    </row>
    <row r="22" customFormat="false" ht="15.75" hidden="false" customHeight="true" outlineLevel="0" collapsed="false">
      <c r="A22" s="47" t="s">
        <v>109</v>
      </c>
      <c r="B22" s="48" t="s">
        <v>165</v>
      </c>
      <c r="C22" s="29" t="s">
        <v>166</v>
      </c>
      <c r="D22" s="49" t="s">
        <v>268</v>
      </c>
      <c r="E22" s="28" t="n">
        <v>1</v>
      </c>
      <c r="F22" s="50" t="str">
        <f aca="false">IF(Master_Results!$D$22="","",IF(D22=Master_Results!$D$22,1,0))</f>
        <v/>
      </c>
      <c r="G22" s="50" t="str">
        <f aca="false">IF(F22="","",E22*F22)</f>
        <v/>
      </c>
    </row>
    <row r="23" customFormat="false" ht="15.75" hidden="false" customHeight="true" outlineLevel="0" collapsed="false">
      <c r="A23" s="47" t="s">
        <v>109</v>
      </c>
      <c r="B23" s="48" t="s">
        <v>167</v>
      </c>
      <c r="C23" s="29" t="s">
        <v>168</v>
      </c>
      <c r="D23" s="49" t="s">
        <v>269</v>
      </c>
      <c r="E23" s="28" t="n">
        <v>1</v>
      </c>
      <c r="F23" s="50" t="str">
        <f aca="false">IF(Master_Results!$D$23="","",IF(D23=Master_Results!$D$23,1,0))</f>
        <v/>
      </c>
      <c r="G23" s="50" t="str">
        <f aca="false">IF(F23="","",E23*F23)</f>
        <v/>
      </c>
    </row>
    <row r="24" customFormat="false" ht="15.75" hidden="false" customHeight="true" outlineLevel="0" collapsed="false">
      <c r="A24" s="47" t="s">
        <v>109</v>
      </c>
      <c r="B24" s="48" t="s">
        <v>169</v>
      </c>
      <c r="C24" s="29" t="s">
        <v>170</v>
      </c>
      <c r="D24" s="49" t="s">
        <v>270</v>
      </c>
      <c r="E24" s="28" t="n">
        <v>1</v>
      </c>
      <c r="F24" s="50" t="str">
        <f aca="false">IF(Master_Results!$D$24="","",IF(D24=Master_Results!$D$24,1,0))</f>
        <v/>
      </c>
      <c r="G24" s="50" t="str">
        <f aca="false">IF(F24="","",E24*F24)</f>
        <v/>
      </c>
    </row>
    <row r="25" customFormat="false" ht="15.75" hidden="false" customHeight="true" outlineLevel="0" collapsed="false">
      <c r="A25" s="47" t="s">
        <v>109</v>
      </c>
      <c r="B25" s="48" t="s">
        <v>171</v>
      </c>
      <c r="C25" s="29" t="s">
        <v>172</v>
      </c>
      <c r="D25" s="49" t="s">
        <v>271</v>
      </c>
      <c r="E25" s="28" t="n">
        <v>1</v>
      </c>
      <c r="F25" s="50" t="str">
        <f aca="false">IF(Master_Results!$D$25="","",IF(D25=Master_Results!$D$25,1,0))</f>
        <v/>
      </c>
      <c r="G25" s="50" t="str">
        <f aca="false">IF(F25="","",E25*F25)</f>
        <v/>
      </c>
    </row>
    <row r="26" customFormat="false" ht="15.75" hidden="false" customHeight="true" outlineLevel="0" collapsed="false">
      <c r="A26" s="47" t="s">
        <v>109</v>
      </c>
      <c r="B26" s="48" t="s">
        <v>173</v>
      </c>
      <c r="C26" s="29" t="s">
        <v>174</v>
      </c>
      <c r="D26" s="49" t="s">
        <v>272</v>
      </c>
      <c r="E26" s="28" t="n">
        <v>1</v>
      </c>
      <c r="F26" s="50" t="str">
        <f aca="false">IF(Master_Results!$D$26="","",IF(D26=Master_Results!$D$26,1,0))</f>
        <v/>
      </c>
      <c r="G26" s="50" t="str">
        <f aca="false">IF(F26="","",E26*F26)</f>
        <v/>
      </c>
    </row>
    <row r="27" customFormat="false" ht="15.75" hidden="false" customHeight="true" outlineLevel="0" collapsed="false">
      <c r="A27" s="47" t="s">
        <v>109</v>
      </c>
      <c r="B27" s="48" t="s">
        <v>175</v>
      </c>
      <c r="C27" s="29" t="s">
        <v>176</v>
      </c>
      <c r="D27" s="49" t="s">
        <v>273</v>
      </c>
      <c r="E27" s="28" t="n">
        <v>1</v>
      </c>
      <c r="F27" s="50" t="str">
        <f aca="false">IF(Master_Results!$D$27="","",IF(D27=Master_Results!$D$27,1,0))</f>
        <v/>
      </c>
      <c r="G27" s="50" t="str">
        <f aca="false">IF(F27="","",E27*F27)</f>
        <v/>
      </c>
    </row>
    <row r="28" customFormat="false" ht="15.75" hidden="false" customHeight="true" outlineLevel="0" collapsed="false">
      <c r="A28" s="47" t="s">
        <v>109</v>
      </c>
      <c r="B28" s="48" t="s">
        <v>177</v>
      </c>
      <c r="C28" s="29" t="s">
        <v>178</v>
      </c>
      <c r="D28" s="49" t="s">
        <v>274</v>
      </c>
      <c r="E28" s="28" t="n">
        <v>1</v>
      </c>
      <c r="F28" s="50" t="str">
        <f aca="false">IF(Master_Results!$D$28="","",IF(D28=Master_Results!$D$28,1,0))</f>
        <v/>
      </c>
      <c r="G28" s="50" t="str">
        <f aca="false">IF(F28="","",E28*F28)</f>
        <v/>
      </c>
    </row>
    <row r="29" customFormat="false" ht="15.75" hidden="false" customHeight="true" outlineLevel="0" collapsed="false">
      <c r="A29" s="47" t="s">
        <v>109</v>
      </c>
      <c r="B29" s="48" t="s">
        <v>179</v>
      </c>
      <c r="C29" s="29" t="s">
        <v>180</v>
      </c>
      <c r="D29" s="49" t="s">
        <v>296</v>
      </c>
      <c r="E29" s="28" t="n">
        <v>1</v>
      </c>
      <c r="F29" s="50" t="str">
        <f aca="false">IF(Master_Results!$D$29="","",IF(D29=Master_Results!$D$29,1,0))</f>
        <v/>
      </c>
      <c r="G29" s="50" t="str">
        <f aca="false">IF(F29="","",E29*F29)</f>
        <v/>
      </c>
    </row>
    <row r="30" customFormat="false" ht="15.75" hidden="false" customHeight="true" outlineLevel="0" collapsed="false">
      <c r="A30" s="47" t="s">
        <v>109</v>
      </c>
      <c r="B30" s="48" t="s">
        <v>181</v>
      </c>
      <c r="C30" s="29" t="s">
        <v>182</v>
      </c>
      <c r="D30" s="49" t="s">
        <v>303</v>
      </c>
      <c r="E30" s="28" t="n">
        <v>1</v>
      </c>
      <c r="F30" s="50" t="str">
        <f aca="false">IF(Master_Results!$D$30="","",IF(D30=Master_Results!$D$30,1,0))</f>
        <v/>
      </c>
      <c r="G30" s="50" t="str">
        <f aca="false">IF(F30="","",E30*F30)</f>
        <v/>
      </c>
    </row>
    <row r="31" customFormat="false" ht="15.75" hidden="false" customHeight="true" outlineLevel="0" collapsed="false">
      <c r="A31" s="47" t="s">
        <v>109</v>
      </c>
      <c r="B31" s="48" t="s">
        <v>183</v>
      </c>
      <c r="C31" s="29" t="s">
        <v>184</v>
      </c>
      <c r="D31" s="49" t="s">
        <v>277</v>
      </c>
      <c r="E31" s="28" t="n">
        <v>1</v>
      </c>
      <c r="F31" s="50" t="str">
        <f aca="false">IF(Master_Results!$D$31="","",IF(D31=Master_Results!$D$31,1,0))</f>
        <v/>
      </c>
      <c r="G31" s="50" t="str">
        <f aca="false">IF(F31="","",E31*F31)</f>
        <v/>
      </c>
    </row>
    <row r="32" customFormat="false" ht="15.75" hidden="false" customHeight="true" outlineLevel="0" collapsed="false">
      <c r="A32" s="47" t="s">
        <v>109</v>
      </c>
      <c r="B32" s="48" t="s">
        <v>185</v>
      </c>
      <c r="C32" s="29" t="s">
        <v>186</v>
      </c>
      <c r="D32" s="49" t="s">
        <v>278</v>
      </c>
      <c r="E32" s="28" t="n">
        <v>1</v>
      </c>
      <c r="F32" s="50" t="str">
        <f aca="false">IF(Master_Results!$D$32="","",IF(D32=Master_Results!$D$32,1,0))</f>
        <v/>
      </c>
      <c r="G32" s="50" t="str">
        <f aca="false">IF(F32="","",E32*F32)</f>
        <v/>
      </c>
    </row>
    <row r="33" customFormat="false" ht="15.75" hidden="false" customHeight="true" outlineLevel="0" collapsed="false">
      <c r="A33" s="47" t="s">
        <v>109</v>
      </c>
      <c r="B33" s="48" t="s">
        <v>187</v>
      </c>
      <c r="C33" s="29" t="s">
        <v>188</v>
      </c>
      <c r="D33" s="49" t="s">
        <v>279</v>
      </c>
      <c r="E33" s="28" t="n">
        <v>1</v>
      </c>
      <c r="F33" s="50" t="str">
        <f aca="false">IF(Master_Results!$D$33="","",IF(D33=Master_Results!$D$33,1,0))</f>
        <v/>
      </c>
      <c r="G33" s="50" t="str">
        <f aca="false">IF(F33="","",E33*F33)</f>
        <v/>
      </c>
    </row>
    <row r="34" customFormat="false" ht="15.75" hidden="false" customHeight="true" outlineLevel="0" collapsed="false">
      <c r="A34" s="47" t="s">
        <v>109</v>
      </c>
      <c r="B34" s="48" t="s">
        <v>189</v>
      </c>
      <c r="C34" s="29" t="s">
        <v>190</v>
      </c>
      <c r="D34" s="49" t="s">
        <v>280</v>
      </c>
      <c r="E34" s="28" t="n">
        <v>1</v>
      </c>
      <c r="F34" s="50" t="str">
        <f aca="false">IF(Master_Results!$D$34="","",IF(D34=Master_Results!$D$34,1,0))</f>
        <v/>
      </c>
      <c r="G34" s="50" t="str">
        <f aca="false">IF(F34="","",E34*F34)</f>
        <v/>
      </c>
    </row>
    <row r="35" customFormat="false" ht="15.75" hidden="false" customHeight="true" outlineLevel="0" collapsed="false">
      <c r="A35" s="47" t="s">
        <v>109</v>
      </c>
      <c r="B35" s="48" t="s">
        <v>191</v>
      </c>
      <c r="C35" s="29" t="s">
        <v>192</v>
      </c>
      <c r="D35" s="49" t="s">
        <v>281</v>
      </c>
      <c r="E35" s="28" t="n">
        <v>1</v>
      </c>
      <c r="F35" s="50" t="str">
        <f aca="false">IF(Master_Results!$D$35="","",IF(D35=Master_Results!$D$35,1,0))</f>
        <v/>
      </c>
      <c r="G35" s="50" t="str">
        <f aca="false">IF(F35="","",E35*F35)</f>
        <v/>
      </c>
    </row>
    <row r="36" customFormat="false" ht="19.5" hidden="false" customHeight="true" outlineLevel="0" collapsed="false">
      <c r="A36" s="31" t="s">
        <v>282</v>
      </c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>
      <c r="A37" s="51" t="s">
        <v>110</v>
      </c>
      <c r="B37" s="52" t="s">
        <v>194</v>
      </c>
      <c r="C37" s="33" t="s">
        <v>195</v>
      </c>
      <c r="D37" s="53" t="s">
        <v>252</v>
      </c>
      <c r="E37" s="32" t="n">
        <v>2</v>
      </c>
      <c r="F37" s="54" t="str">
        <f aca="false">IF(Master_Results!$D$37="","",IF(D37=Master_Results!$D$37,1,0))</f>
        <v/>
      </c>
      <c r="G37" s="54" t="str">
        <f aca="false">IF(F37="","",E37*F37)</f>
        <v/>
      </c>
    </row>
    <row r="38" customFormat="false" ht="15.75" hidden="false" customHeight="true" outlineLevel="0" collapsed="false">
      <c r="A38" s="51" t="s">
        <v>110</v>
      </c>
      <c r="B38" s="52" t="s">
        <v>196</v>
      </c>
      <c r="C38" s="33" t="s">
        <v>197</v>
      </c>
      <c r="D38" s="53" t="s">
        <v>254</v>
      </c>
      <c r="E38" s="32" t="n">
        <v>2</v>
      </c>
      <c r="F38" s="54" t="str">
        <f aca="false">IF(Master_Results!$D$38="","",IF(D38=Master_Results!$D$38,1,0))</f>
        <v/>
      </c>
      <c r="G38" s="54" t="str">
        <f aca="false">IF(F38="","",E38*F38)</f>
        <v/>
      </c>
    </row>
    <row r="39" customFormat="false" ht="15.75" hidden="false" customHeight="true" outlineLevel="0" collapsed="false">
      <c r="A39" s="51" t="s">
        <v>110</v>
      </c>
      <c r="B39" s="52" t="s">
        <v>198</v>
      </c>
      <c r="C39" s="33" t="s">
        <v>199</v>
      </c>
      <c r="D39" s="53" t="s">
        <v>301</v>
      </c>
      <c r="E39" s="32" t="n">
        <v>2</v>
      </c>
      <c r="F39" s="54" t="str">
        <f aca="false">IF(Master_Results!$D$39="","",IF(D39=Master_Results!$D$39,1,0))</f>
        <v/>
      </c>
      <c r="G39" s="54" t="str">
        <f aca="false">IF(F39="","",E39*F39)</f>
        <v/>
      </c>
    </row>
    <row r="40" customFormat="false" ht="15.75" hidden="false" customHeight="true" outlineLevel="0" collapsed="false">
      <c r="A40" s="51" t="s">
        <v>110</v>
      </c>
      <c r="B40" s="52" t="s">
        <v>200</v>
      </c>
      <c r="C40" s="33" t="s">
        <v>201</v>
      </c>
      <c r="D40" s="53" t="s">
        <v>258</v>
      </c>
      <c r="E40" s="32" t="n">
        <v>2</v>
      </c>
      <c r="F40" s="54" t="str">
        <f aca="false">IF(Master_Results!$D$40="","",IF(D40=Master_Results!$D$40,1,0))</f>
        <v/>
      </c>
      <c r="G40" s="54" t="str">
        <f aca="false">IF(F40="","",E40*F40)</f>
        <v/>
      </c>
    </row>
    <row r="41" customFormat="false" ht="15.75" hidden="false" customHeight="true" outlineLevel="0" collapsed="false">
      <c r="A41" s="51" t="s">
        <v>110</v>
      </c>
      <c r="B41" s="52" t="s">
        <v>202</v>
      </c>
      <c r="C41" s="33" t="s">
        <v>203</v>
      </c>
      <c r="D41" s="53" t="s">
        <v>259</v>
      </c>
      <c r="E41" s="32" t="n">
        <v>2</v>
      </c>
      <c r="F41" s="54" t="str">
        <f aca="false">IF(Master_Results!$D$41="","",IF(D41=Master_Results!$D$41,1,0))</f>
        <v/>
      </c>
      <c r="G41" s="54" t="str">
        <f aca="false">IF(F41="","",E41*F41)</f>
        <v/>
      </c>
    </row>
    <row r="42" customFormat="false" ht="15.75" hidden="false" customHeight="true" outlineLevel="0" collapsed="false">
      <c r="A42" s="51" t="s">
        <v>110</v>
      </c>
      <c r="B42" s="52" t="s">
        <v>204</v>
      </c>
      <c r="C42" s="33" t="s">
        <v>205</v>
      </c>
      <c r="D42" s="53" t="s">
        <v>152</v>
      </c>
      <c r="E42" s="32" t="n">
        <v>2</v>
      </c>
      <c r="F42" s="54" t="str">
        <f aca="false">IF(Master_Results!$D$42="","",IF(D42=Master_Results!$D$42,1,0))</f>
        <v/>
      </c>
      <c r="G42" s="54" t="str">
        <f aca="false">IF(F42="","",E42*F42)</f>
        <v/>
      </c>
    </row>
    <row r="43" customFormat="false" ht="15.75" hidden="false" customHeight="true" outlineLevel="0" collapsed="false">
      <c r="A43" s="51" t="s">
        <v>110</v>
      </c>
      <c r="B43" s="52" t="s">
        <v>206</v>
      </c>
      <c r="C43" s="33" t="s">
        <v>207</v>
      </c>
      <c r="D43" s="53" t="s">
        <v>302</v>
      </c>
      <c r="E43" s="32" t="n">
        <v>2</v>
      </c>
      <c r="F43" s="54" t="str">
        <f aca="false">IF(Master_Results!$D$43="","",IF(D43=Master_Results!$D$43,1,0))</f>
        <v/>
      </c>
      <c r="G43" s="54" t="str">
        <f aca="false">IF(F43="","",E43*F43)</f>
        <v/>
      </c>
    </row>
    <row r="44" customFormat="false" ht="15.75" hidden="false" customHeight="true" outlineLevel="0" collapsed="false">
      <c r="A44" s="51" t="s">
        <v>110</v>
      </c>
      <c r="B44" s="52" t="s">
        <v>208</v>
      </c>
      <c r="C44" s="33" t="s">
        <v>209</v>
      </c>
      <c r="D44" s="53" t="s">
        <v>265</v>
      </c>
      <c r="E44" s="32" t="n">
        <v>2</v>
      </c>
      <c r="F44" s="54" t="str">
        <f aca="false">IF(Master_Results!$D$44="","",IF(D44=Master_Results!$D$44,1,0))</f>
        <v/>
      </c>
      <c r="G44" s="54" t="str">
        <f aca="false">IF(F44="","",E44*F44)</f>
        <v/>
      </c>
    </row>
    <row r="45" customFormat="false" ht="15.75" hidden="false" customHeight="true" outlineLevel="0" collapsed="false">
      <c r="A45" s="51" t="s">
        <v>110</v>
      </c>
      <c r="B45" s="52" t="s">
        <v>210</v>
      </c>
      <c r="C45" s="33" t="s">
        <v>211</v>
      </c>
      <c r="D45" s="53" t="s">
        <v>266</v>
      </c>
      <c r="E45" s="32" t="n">
        <v>2</v>
      </c>
      <c r="F45" s="54" t="str">
        <f aca="false">IF(Master_Results!$D$45="","",IF(D45=Master_Results!$D$45,1,0))</f>
        <v/>
      </c>
      <c r="G45" s="54" t="str">
        <f aca="false">IF(F45="","",E45*F45)</f>
        <v/>
      </c>
    </row>
    <row r="46" customFormat="false" ht="15.75" hidden="false" customHeight="true" outlineLevel="0" collapsed="false">
      <c r="A46" s="51" t="s">
        <v>110</v>
      </c>
      <c r="B46" s="52" t="s">
        <v>212</v>
      </c>
      <c r="C46" s="33" t="s">
        <v>213</v>
      </c>
      <c r="D46" s="53" t="s">
        <v>269</v>
      </c>
      <c r="E46" s="32" t="n">
        <v>2</v>
      </c>
      <c r="F46" s="54" t="str">
        <f aca="false">IF(Master_Results!$D$46="","",IF(D46=Master_Results!$D$46,1,0))</f>
        <v/>
      </c>
      <c r="G46" s="54" t="str">
        <f aca="false">IF(F46="","",E46*F46)</f>
        <v/>
      </c>
    </row>
    <row r="47" customFormat="false" ht="15.75" hidden="false" customHeight="true" outlineLevel="0" collapsed="false">
      <c r="A47" s="51" t="s">
        <v>110</v>
      </c>
      <c r="B47" s="52" t="s">
        <v>214</v>
      </c>
      <c r="C47" s="33" t="s">
        <v>215</v>
      </c>
      <c r="D47" s="53" t="s">
        <v>270</v>
      </c>
      <c r="E47" s="32" t="n">
        <v>2</v>
      </c>
      <c r="F47" s="54" t="str">
        <f aca="false">IF(Master_Results!$D$47="","",IF(D47=Master_Results!$D$47,1,0))</f>
        <v/>
      </c>
      <c r="G47" s="54" t="str">
        <f aca="false">IF(F47="","",E47*F47)</f>
        <v/>
      </c>
    </row>
    <row r="48" customFormat="false" ht="15.75" hidden="false" customHeight="true" outlineLevel="0" collapsed="false">
      <c r="A48" s="51" t="s">
        <v>110</v>
      </c>
      <c r="B48" s="52" t="s">
        <v>216</v>
      </c>
      <c r="C48" s="33" t="s">
        <v>217</v>
      </c>
      <c r="D48" s="53" t="s">
        <v>273</v>
      </c>
      <c r="E48" s="32" t="n">
        <v>2</v>
      </c>
      <c r="F48" s="54" t="str">
        <f aca="false">IF(Master_Results!$D$48="","",IF(D48=Master_Results!$D$48,1,0))</f>
        <v/>
      </c>
      <c r="G48" s="54" t="str">
        <f aca="false">IF(F48="","",E48*F48)</f>
        <v/>
      </c>
    </row>
    <row r="49" customFormat="false" ht="15.75" hidden="false" customHeight="true" outlineLevel="0" collapsed="false">
      <c r="A49" s="51" t="s">
        <v>110</v>
      </c>
      <c r="B49" s="52" t="s">
        <v>218</v>
      </c>
      <c r="C49" s="33" t="s">
        <v>219</v>
      </c>
      <c r="D49" s="53" t="s">
        <v>274</v>
      </c>
      <c r="E49" s="32" t="n">
        <v>2</v>
      </c>
      <c r="F49" s="54" t="str">
        <f aca="false">IF(Master_Results!$D$49="","",IF(D49=Master_Results!$D$49,1,0))</f>
        <v/>
      </c>
      <c r="G49" s="54" t="str">
        <f aca="false">IF(F49="","",E49*F49)</f>
        <v/>
      </c>
    </row>
    <row r="50" customFormat="false" ht="15.75" hidden="false" customHeight="true" outlineLevel="0" collapsed="false">
      <c r="A50" s="51" t="s">
        <v>110</v>
      </c>
      <c r="B50" s="52" t="s">
        <v>220</v>
      </c>
      <c r="C50" s="33" t="s">
        <v>221</v>
      </c>
      <c r="D50" s="53" t="s">
        <v>277</v>
      </c>
      <c r="E50" s="32" t="n">
        <v>2</v>
      </c>
      <c r="F50" s="54" t="str">
        <f aca="false">IF(Master_Results!$D$50="","",IF(D50=Master_Results!$D$50,1,0))</f>
        <v/>
      </c>
      <c r="G50" s="54" t="str">
        <f aca="false">IF(F50="","",E50*F50)</f>
        <v/>
      </c>
    </row>
    <row r="51" customFormat="false" ht="15.75" hidden="false" customHeight="true" outlineLevel="0" collapsed="false">
      <c r="A51" s="51" t="s">
        <v>110</v>
      </c>
      <c r="B51" s="52" t="s">
        <v>222</v>
      </c>
      <c r="C51" s="33" t="s">
        <v>223</v>
      </c>
      <c r="D51" s="53" t="s">
        <v>278</v>
      </c>
      <c r="E51" s="32" t="n">
        <v>2</v>
      </c>
      <c r="F51" s="54" t="str">
        <f aca="false">IF(Master_Results!$D$51="","",IF(D51=Master_Results!$D$51,1,0))</f>
        <v/>
      </c>
      <c r="G51" s="54" t="str">
        <f aca="false">IF(F51="","",E51*F51)</f>
        <v/>
      </c>
    </row>
    <row r="52" customFormat="false" ht="15.75" hidden="false" customHeight="true" outlineLevel="0" collapsed="false">
      <c r="A52" s="51" t="s">
        <v>110</v>
      </c>
      <c r="B52" s="52" t="s">
        <v>224</v>
      </c>
      <c r="C52" s="33" t="s">
        <v>225</v>
      </c>
      <c r="D52" s="53" t="s">
        <v>280</v>
      </c>
      <c r="E52" s="32" t="n">
        <v>2</v>
      </c>
      <c r="F52" s="54" t="str">
        <f aca="false">IF(Master_Results!$D$52="","",IF(D52=Master_Results!$D$52,1,0))</f>
        <v/>
      </c>
      <c r="G52" s="54" t="str">
        <f aca="false">IF(F52="","",E52*F52)</f>
        <v/>
      </c>
    </row>
    <row r="53" customFormat="false" ht="19.5" hidden="false" customHeight="true" outlineLevel="0" collapsed="false">
      <c r="A53" s="34" t="s">
        <v>284</v>
      </c>
      <c r="B53" s="34"/>
      <c r="C53" s="34"/>
      <c r="D53" s="34"/>
      <c r="E53" s="34"/>
      <c r="F53" s="34"/>
      <c r="G53" s="34"/>
      <c r="H53" s="34"/>
    </row>
    <row r="54" customFormat="false" ht="15.75" hidden="false" customHeight="true" outlineLevel="0" collapsed="false">
      <c r="A54" s="55" t="s">
        <v>111</v>
      </c>
      <c r="B54" s="56" t="s">
        <v>227</v>
      </c>
      <c r="C54" s="36" t="s">
        <v>195</v>
      </c>
      <c r="D54" s="57" t="s">
        <v>252</v>
      </c>
      <c r="E54" s="35" t="n">
        <v>4</v>
      </c>
      <c r="F54" s="58" t="str">
        <f aca="false">IF(Master_Results!$D$54="","",IF(D54=Master_Results!$D$54,1,0))</f>
        <v/>
      </c>
      <c r="G54" s="58" t="str">
        <f aca="false">IF(F54="","",E54*F54)</f>
        <v/>
      </c>
    </row>
    <row r="55" customFormat="false" ht="15.75" hidden="false" customHeight="true" outlineLevel="0" collapsed="false">
      <c r="A55" s="55" t="s">
        <v>111</v>
      </c>
      <c r="B55" s="56" t="s">
        <v>228</v>
      </c>
      <c r="C55" s="36" t="s">
        <v>197</v>
      </c>
      <c r="D55" s="57" t="s">
        <v>301</v>
      </c>
      <c r="E55" s="35" t="n">
        <v>4</v>
      </c>
      <c r="F55" s="58" t="str">
        <f aca="false">IF(Master_Results!$D$55="","",IF(D55=Master_Results!$D$55,1,0))</f>
        <v/>
      </c>
      <c r="G55" s="58" t="str">
        <f aca="false">IF(F55="","",E55*F55)</f>
        <v/>
      </c>
    </row>
    <row r="56" customFormat="false" ht="15.75" hidden="false" customHeight="true" outlineLevel="0" collapsed="false">
      <c r="A56" s="55" t="s">
        <v>111</v>
      </c>
      <c r="B56" s="56" t="s">
        <v>229</v>
      </c>
      <c r="C56" s="36" t="s">
        <v>199</v>
      </c>
      <c r="D56" s="57" t="s">
        <v>259</v>
      </c>
      <c r="E56" s="35" t="n">
        <v>4</v>
      </c>
      <c r="F56" s="58" t="str">
        <f aca="false">IF(Master_Results!$D$56="","",IF(D56=Master_Results!$D$56,1,0))</f>
        <v/>
      </c>
      <c r="G56" s="58" t="str">
        <f aca="false">IF(F56="","",E56*F56)</f>
        <v/>
      </c>
    </row>
    <row r="57" customFormat="false" ht="15.75" hidden="false" customHeight="true" outlineLevel="0" collapsed="false">
      <c r="A57" s="55" t="s">
        <v>111</v>
      </c>
      <c r="B57" s="56" t="s">
        <v>230</v>
      </c>
      <c r="C57" s="36" t="s">
        <v>201</v>
      </c>
      <c r="D57" s="57" t="s">
        <v>265</v>
      </c>
      <c r="E57" s="35" t="n">
        <v>4</v>
      </c>
      <c r="F57" s="58" t="str">
        <f aca="false">IF(Master_Results!$D$57="","",IF(D57=Master_Results!$D$57,1,0))</f>
        <v/>
      </c>
      <c r="G57" s="58" t="str">
        <f aca="false">IF(F57="","",E57*F57)</f>
        <v/>
      </c>
    </row>
    <row r="58" customFormat="false" ht="15.75" hidden="false" customHeight="true" outlineLevel="0" collapsed="false">
      <c r="A58" s="55" t="s">
        <v>111</v>
      </c>
      <c r="B58" s="56" t="s">
        <v>231</v>
      </c>
      <c r="C58" s="36" t="s">
        <v>203</v>
      </c>
      <c r="D58" s="57" t="s">
        <v>266</v>
      </c>
      <c r="E58" s="35" t="n">
        <v>4</v>
      </c>
      <c r="F58" s="58" t="str">
        <f aca="false">IF(Master_Results!$D$58="","",IF(D58=Master_Results!$D$58,1,0))</f>
        <v/>
      </c>
      <c r="G58" s="58" t="str">
        <f aca="false">IF(F58="","",E58*F58)</f>
        <v/>
      </c>
    </row>
    <row r="59" customFormat="false" ht="15.75" hidden="false" customHeight="true" outlineLevel="0" collapsed="false">
      <c r="A59" s="55" t="s">
        <v>111</v>
      </c>
      <c r="B59" s="56" t="s">
        <v>232</v>
      </c>
      <c r="C59" s="36" t="s">
        <v>205</v>
      </c>
      <c r="D59" s="57" t="s">
        <v>273</v>
      </c>
      <c r="E59" s="35" t="n">
        <v>4</v>
      </c>
      <c r="F59" s="58" t="str">
        <f aca="false">IF(Master_Results!$D$59="","",IF(D59=Master_Results!$D$59,1,0))</f>
        <v/>
      </c>
      <c r="G59" s="58" t="str">
        <f aca="false">IF(F59="","",E59*F59)</f>
        <v/>
      </c>
    </row>
    <row r="60" customFormat="false" ht="15.75" hidden="false" customHeight="true" outlineLevel="0" collapsed="false">
      <c r="A60" s="55" t="s">
        <v>111</v>
      </c>
      <c r="B60" s="56" t="s">
        <v>233</v>
      </c>
      <c r="C60" s="36" t="s">
        <v>207</v>
      </c>
      <c r="D60" s="57" t="s">
        <v>274</v>
      </c>
      <c r="E60" s="35" t="n">
        <v>4</v>
      </c>
      <c r="F60" s="58" t="str">
        <f aca="false">IF(Master_Results!$D$60="","",IF(D60=Master_Results!$D$60,1,0))</f>
        <v/>
      </c>
      <c r="G60" s="58" t="str">
        <f aca="false">IF(F60="","",E60*F60)</f>
        <v/>
      </c>
    </row>
    <row r="61" customFormat="false" ht="15.75" hidden="false" customHeight="true" outlineLevel="0" collapsed="false">
      <c r="A61" s="55" t="s">
        <v>111</v>
      </c>
      <c r="B61" s="56" t="s">
        <v>234</v>
      </c>
      <c r="C61" s="36" t="s">
        <v>209</v>
      </c>
      <c r="D61" s="57" t="s">
        <v>277</v>
      </c>
      <c r="E61" s="35" t="n">
        <v>4</v>
      </c>
      <c r="F61" s="58" t="str">
        <f aca="false">IF(Master_Results!$D$61="","",IF(D61=Master_Results!$D$61,1,0))</f>
        <v/>
      </c>
      <c r="G61" s="58" t="str">
        <f aca="false">IF(F61="","",E61*F61)</f>
        <v/>
      </c>
    </row>
    <row r="62" customFormat="false" ht="19.5" hidden="false" customHeight="true" outlineLevel="0" collapsed="false">
      <c r="A62" s="37" t="s">
        <v>285</v>
      </c>
      <c r="B62" s="37"/>
      <c r="C62" s="37"/>
      <c r="D62" s="37"/>
      <c r="E62" s="37"/>
      <c r="F62" s="37"/>
      <c r="G62" s="37"/>
      <c r="H62" s="37"/>
    </row>
    <row r="63" customFormat="false" ht="15.75" hidden="false" customHeight="true" outlineLevel="0" collapsed="false">
      <c r="A63" s="59" t="s">
        <v>112</v>
      </c>
      <c r="B63" s="60" t="s">
        <v>236</v>
      </c>
      <c r="C63" s="39" t="s">
        <v>195</v>
      </c>
      <c r="D63" s="61" t="s">
        <v>252</v>
      </c>
      <c r="E63" s="38" t="n">
        <v>8</v>
      </c>
      <c r="F63" s="62" t="str">
        <f aca="false">IF(Master_Results!$D$63="","",IF(D63=Master_Results!$D$63,1,0))</f>
        <v/>
      </c>
      <c r="G63" s="62" t="str">
        <f aca="false">IF(F63="","",E63*F63)</f>
        <v/>
      </c>
    </row>
    <row r="64" customFormat="false" ht="15.75" hidden="false" customHeight="true" outlineLevel="0" collapsed="false">
      <c r="A64" s="59" t="s">
        <v>112</v>
      </c>
      <c r="B64" s="60" t="s">
        <v>237</v>
      </c>
      <c r="C64" s="39" t="s">
        <v>197</v>
      </c>
      <c r="D64" s="61" t="s">
        <v>265</v>
      </c>
      <c r="E64" s="38" t="n">
        <v>8</v>
      </c>
      <c r="F64" s="62" t="str">
        <f aca="false">IF(Master_Results!$D$64="","",IF(D64=Master_Results!$D$64,1,0))</f>
        <v/>
      </c>
      <c r="G64" s="62" t="str">
        <f aca="false">IF(F64="","",E64*F64)</f>
        <v/>
      </c>
    </row>
    <row r="65" customFormat="false" ht="15.75" hidden="false" customHeight="true" outlineLevel="0" collapsed="false">
      <c r="A65" s="59" t="s">
        <v>112</v>
      </c>
      <c r="B65" s="60" t="s">
        <v>238</v>
      </c>
      <c r="C65" s="39" t="s">
        <v>199</v>
      </c>
      <c r="D65" s="61" t="s">
        <v>266</v>
      </c>
      <c r="E65" s="38" t="n">
        <v>8</v>
      </c>
      <c r="F65" s="62" t="str">
        <f aca="false">IF(Master_Results!$D$65="","",IF(D65=Master_Results!$D$65,1,0))</f>
        <v/>
      </c>
      <c r="G65" s="62" t="str">
        <f aca="false">IF(F65="","",E65*F65)</f>
        <v/>
      </c>
    </row>
    <row r="66" customFormat="false" ht="15.75" hidden="false" customHeight="true" outlineLevel="0" collapsed="false">
      <c r="A66" s="59" t="s">
        <v>112</v>
      </c>
      <c r="B66" s="60" t="s">
        <v>239</v>
      </c>
      <c r="C66" s="39" t="s">
        <v>201</v>
      </c>
      <c r="D66" s="61" t="s">
        <v>277</v>
      </c>
      <c r="E66" s="38" t="n">
        <v>8</v>
      </c>
      <c r="F66" s="62" t="str">
        <f aca="false">IF(Master_Results!$D$66="","",IF(D66=Master_Results!$D$66,1,0))</f>
        <v/>
      </c>
      <c r="G66" s="62" t="str">
        <f aca="false">IF(F66="","",E66*F66)</f>
        <v/>
      </c>
    </row>
    <row r="67" customFormat="false" ht="19.5" hidden="false" customHeight="true" outlineLevel="0" collapsed="false">
      <c r="A67" s="40" t="s">
        <v>286</v>
      </c>
      <c r="B67" s="40"/>
      <c r="C67" s="40"/>
      <c r="D67" s="40"/>
      <c r="E67" s="40"/>
      <c r="F67" s="40"/>
      <c r="G67" s="40"/>
      <c r="H67" s="40"/>
    </row>
    <row r="68" customFormat="false" ht="15.75" hidden="false" customHeight="true" outlineLevel="0" collapsed="false">
      <c r="A68" s="63" t="s">
        <v>241</v>
      </c>
      <c r="B68" s="64" t="s">
        <v>242</v>
      </c>
      <c r="C68" s="42" t="s">
        <v>195</v>
      </c>
      <c r="D68" s="65" t="s">
        <v>252</v>
      </c>
      <c r="E68" s="41" t="n">
        <v>16</v>
      </c>
      <c r="F68" s="66" t="str">
        <f aca="false">IF(Master_Results!$D$68="","",IF(D68=Master_Results!$D$68,1,0))</f>
        <v/>
      </c>
      <c r="G68" s="66" t="str">
        <f aca="false">IF(F68="","",E68*F68)</f>
        <v/>
      </c>
    </row>
    <row r="69" customFormat="false" ht="15.75" hidden="false" customHeight="true" outlineLevel="0" collapsed="false">
      <c r="A69" s="63" t="s">
        <v>241</v>
      </c>
      <c r="B69" s="64" t="s">
        <v>243</v>
      </c>
      <c r="C69" s="42" t="s">
        <v>197</v>
      </c>
      <c r="D69" s="65" t="s">
        <v>277</v>
      </c>
      <c r="E69" s="41" t="n">
        <v>16</v>
      </c>
      <c r="F69" s="66" t="str">
        <f aca="false">IF(Master_Results!$D$69="","",IF(D69=Master_Results!$D$69,1,0))</f>
        <v/>
      </c>
      <c r="G69" s="66" t="str">
        <f aca="false">IF(F69="","",E69*F69)</f>
        <v/>
      </c>
    </row>
    <row r="70" customFormat="false" ht="19.5" hidden="false" customHeight="true" outlineLevel="0" collapsed="false">
      <c r="A70" s="43" t="s">
        <v>287</v>
      </c>
      <c r="B70" s="43"/>
      <c r="C70" s="43"/>
      <c r="D70" s="43"/>
      <c r="E70" s="43"/>
      <c r="F70" s="43"/>
      <c r="G70" s="43"/>
      <c r="H70" s="43"/>
    </row>
    <row r="71" customFormat="false" ht="15.75" hidden="false" customHeight="true" outlineLevel="0" collapsed="false">
      <c r="A71" s="67" t="s">
        <v>114</v>
      </c>
      <c r="B71" s="68" t="s">
        <v>245</v>
      </c>
      <c r="C71" s="45" t="s">
        <v>195</v>
      </c>
      <c r="D71" s="69" t="s">
        <v>252</v>
      </c>
      <c r="E71" s="44" t="n">
        <v>32</v>
      </c>
      <c r="F71" s="70" t="str">
        <f aca="false">IF(Master_Results!$D$71="","",IF(D71=Master_Results!$D$71,1,0))</f>
        <v/>
      </c>
      <c r="G71" s="70" t="str">
        <f aca="false">IF(F71="","",E71*F71)</f>
        <v/>
      </c>
    </row>
    <row r="73" customFormat="false" ht="25.5" hidden="false" customHeight="true" outlineLevel="0" collapsed="false">
      <c r="A73" s="71" t="s">
        <v>288</v>
      </c>
      <c r="B73" s="71"/>
      <c r="C73" s="71"/>
      <c r="D73" s="71"/>
      <c r="E73" s="71"/>
      <c r="F73" s="72" t="s">
        <v>289</v>
      </c>
      <c r="G73" s="73" t="n">
        <f aca="false">SUMIF(F3:F71,1,E3:E71)</f>
        <v>2</v>
      </c>
      <c r="H73" s="74" t="n">
        <f aca="false">SUMIF(F3:F71,"",E3:E71)</f>
        <v>190</v>
      </c>
    </row>
  </sheetData>
  <mergeCells count="8">
    <mergeCell ref="A1:H1"/>
    <mergeCell ref="A3:H3"/>
    <mergeCell ref="A36:H36"/>
    <mergeCell ref="A53:H53"/>
    <mergeCell ref="A62:H62"/>
    <mergeCell ref="A67:H67"/>
    <mergeCell ref="A70:H70"/>
    <mergeCell ref="A73:E73"/>
  </mergeCells>
  <conditionalFormatting sqref="A3:G71">
    <cfRule type="expression" priority="2" aboveAverage="0" equalAverage="0" bottom="0" percent="0" rank="0" text="" dxfId="3">
      <formula>$F3=1</formula>
    </cfRule>
    <cfRule type="expression" priority="3" aboveAverage="0" equalAverage="0" bottom="0" percent="0" rank="0" text="" dxfId="4">
      <formula>$F3=0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18"/>
    <col collapsed="false" customWidth="true" hidden="false" outlineLevel="0" max="5" min="5" style="9" width="9"/>
    <col collapsed="false" customWidth="true" hidden="false" outlineLevel="0" max="6" min="6" style="9" width="10"/>
    <col collapsed="false" customWidth="true" hidden="false" outlineLevel="0" max="7" min="7" style="9" width="11"/>
    <col collapsed="false" customWidth="true" hidden="false" outlineLevel="0" max="8" min="8" style="9" width="12"/>
  </cols>
  <sheetData>
    <row r="1" customFormat="false" ht="30" hidden="false" customHeight="true" outlineLevel="0" collapsed="false">
      <c r="A1" s="26" t="s">
        <v>304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247</v>
      </c>
      <c r="E2" s="12" t="s">
        <v>248</v>
      </c>
      <c r="F2" s="12" t="s">
        <v>249</v>
      </c>
      <c r="G2" s="12" t="s">
        <v>250</v>
      </c>
      <c r="H2" s="46"/>
    </row>
    <row r="3" customFormat="false" ht="19.5" hidden="false" customHeight="true" outlineLevel="0" collapsed="false">
      <c r="A3" s="27" t="s">
        <v>251</v>
      </c>
      <c r="B3" s="27"/>
      <c r="C3" s="27"/>
      <c r="D3" s="27"/>
      <c r="E3" s="27"/>
      <c r="F3" s="27"/>
      <c r="G3" s="27"/>
      <c r="H3" s="27"/>
    </row>
    <row r="4" customFormat="false" ht="15.75" hidden="false" customHeight="true" outlineLevel="0" collapsed="false">
      <c r="A4" s="47" t="s">
        <v>109</v>
      </c>
      <c r="B4" s="48" t="s">
        <v>127</v>
      </c>
      <c r="C4" s="29" t="s">
        <v>128</v>
      </c>
      <c r="D4" s="49" t="s">
        <v>252</v>
      </c>
      <c r="E4" s="28" t="n">
        <v>1</v>
      </c>
      <c r="F4" s="50" t="str">
        <f aca="false">IF(Master_Results!$D$4="","",IF(D4=Master_Results!$D$4,1,0))</f>
        <v/>
      </c>
      <c r="G4" s="50" t="str">
        <f aca="false">IF(F4="","",E4*F4)</f>
        <v/>
      </c>
    </row>
    <row r="5" customFormat="false" ht="15.75" hidden="false" customHeight="true" outlineLevel="0" collapsed="false">
      <c r="A5" s="47" t="s">
        <v>109</v>
      </c>
      <c r="B5" s="48" t="s">
        <v>129</v>
      </c>
      <c r="C5" s="29" t="s">
        <v>130</v>
      </c>
      <c r="D5" s="49" t="s">
        <v>131</v>
      </c>
      <c r="E5" s="28" t="n">
        <v>1</v>
      </c>
      <c r="F5" s="50" t="n">
        <f aca="false">IF(Master_Results!$D$5="","",IF(D5=Master_Results!$D$5,1,0))</f>
        <v>1</v>
      </c>
      <c r="G5" s="50" t="n">
        <f aca="false">IF(F5="","",E5*F5)</f>
        <v>1</v>
      </c>
    </row>
    <row r="6" customFormat="false" ht="15.75" hidden="false" customHeight="true" outlineLevel="0" collapsed="false">
      <c r="A6" s="47" t="s">
        <v>109</v>
      </c>
      <c r="B6" s="48" t="s">
        <v>132</v>
      </c>
      <c r="C6" s="29" t="s">
        <v>133</v>
      </c>
      <c r="D6" s="49" t="s">
        <v>253</v>
      </c>
      <c r="E6" s="28" t="n">
        <v>1</v>
      </c>
      <c r="F6" s="50" t="str">
        <f aca="false">IF(Master_Results!$D$6="","",IF(D6=Master_Results!$D$6,1,0))</f>
        <v/>
      </c>
      <c r="G6" s="50" t="str">
        <f aca="false">IF(F6="","",E6*F6)</f>
        <v/>
      </c>
    </row>
    <row r="7" customFormat="false" ht="15.75" hidden="false" customHeight="true" outlineLevel="0" collapsed="false">
      <c r="A7" s="47" t="s">
        <v>109</v>
      </c>
      <c r="B7" s="48" t="s">
        <v>134</v>
      </c>
      <c r="C7" s="29" t="s">
        <v>135</v>
      </c>
      <c r="D7" s="49" t="s">
        <v>254</v>
      </c>
      <c r="E7" s="28" t="n">
        <v>1</v>
      </c>
      <c r="F7" s="50" t="str">
        <f aca="false">IF(Master_Results!$D$7="","",IF(D7=Master_Results!$D$7,1,0))</f>
        <v/>
      </c>
      <c r="G7" s="50" t="str">
        <f aca="false">IF(F7="","",E7*F7)</f>
        <v/>
      </c>
    </row>
    <row r="8" customFormat="false" ht="15.75" hidden="false" customHeight="true" outlineLevel="0" collapsed="false">
      <c r="A8" s="47" t="s">
        <v>109</v>
      </c>
      <c r="B8" s="48" t="s">
        <v>136</v>
      </c>
      <c r="C8" s="29" t="s">
        <v>137</v>
      </c>
      <c r="D8" s="49" t="s">
        <v>255</v>
      </c>
      <c r="E8" s="28" t="n">
        <v>1</v>
      </c>
      <c r="F8" s="50" t="str">
        <f aca="false">IF(Master_Results!$D$8="","",IF(D8=Master_Results!$D$8,1,0))</f>
        <v/>
      </c>
      <c r="G8" s="50" t="str">
        <f aca="false">IF(F8="","",E8*F8)</f>
        <v/>
      </c>
    </row>
    <row r="9" customFormat="false" ht="15.75" hidden="false" customHeight="true" outlineLevel="0" collapsed="false">
      <c r="A9" s="47" t="s">
        <v>109</v>
      </c>
      <c r="B9" s="48" t="s">
        <v>138</v>
      </c>
      <c r="C9" s="29" t="s">
        <v>139</v>
      </c>
      <c r="D9" s="49" t="s">
        <v>256</v>
      </c>
      <c r="E9" s="28" t="n">
        <v>1</v>
      </c>
      <c r="F9" s="50" t="str">
        <f aca="false">IF(Master_Results!$D$9="","",IF(D9=Master_Results!$D$9,1,0))</f>
        <v/>
      </c>
      <c r="G9" s="50" t="str">
        <f aca="false">IF(F9="","",E9*F9)</f>
        <v/>
      </c>
    </row>
    <row r="10" customFormat="false" ht="15.75" hidden="false" customHeight="true" outlineLevel="0" collapsed="false">
      <c r="A10" s="47" t="s">
        <v>109</v>
      </c>
      <c r="B10" s="48" t="s">
        <v>140</v>
      </c>
      <c r="C10" s="29" t="s">
        <v>141</v>
      </c>
      <c r="D10" s="49" t="s">
        <v>299</v>
      </c>
      <c r="E10" s="28" t="n">
        <v>1</v>
      </c>
      <c r="F10" s="50" t="str">
        <f aca="false">IF(Master_Results!$D$10="","",IF(D10=Master_Results!$D$10,1,0))</f>
        <v/>
      </c>
      <c r="G10" s="50" t="str">
        <f aca="false">IF(F10="","",E10*F10)</f>
        <v/>
      </c>
    </row>
    <row r="11" customFormat="false" ht="15.75" hidden="false" customHeight="true" outlineLevel="0" collapsed="false">
      <c r="A11" s="47" t="s">
        <v>109</v>
      </c>
      <c r="B11" s="48" t="s">
        <v>142</v>
      </c>
      <c r="C11" s="29" t="s">
        <v>143</v>
      </c>
      <c r="D11" s="49" t="s">
        <v>258</v>
      </c>
      <c r="E11" s="28" t="n">
        <v>1</v>
      </c>
      <c r="F11" s="50" t="str">
        <f aca="false">IF(Master_Results!$D$11="","",IF(D11=Master_Results!$D$11,1,0))</f>
        <v/>
      </c>
      <c r="G11" s="50" t="str">
        <f aca="false">IF(F11="","",E11*F11)</f>
        <v/>
      </c>
    </row>
    <row r="12" customFormat="false" ht="15.75" hidden="false" customHeight="true" outlineLevel="0" collapsed="false">
      <c r="A12" s="47" t="s">
        <v>109</v>
      </c>
      <c r="B12" s="48" t="s">
        <v>144</v>
      </c>
      <c r="C12" s="29" t="s">
        <v>145</v>
      </c>
      <c r="D12" s="49" t="s">
        <v>259</v>
      </c>
      <c r="E12" s="28" t="n">
        <v>1</v>
      </c>
      <c r="F12" s="50" t="str">
        <f aca="false">IF(Master_Results!$D$12="","",IF(D12=Master_Results!$D$12,1,0))</f>
        <v/>
      </c>
      <c r="G12" s="50" t="str">
        <f aca="false">IF(F12="","",E12*F12)</f>
        <v/>
      </c>
    </row>
    <row r="13" customFormat="false" ht="15.75" hidden="false" customHeight="true" outlineLevel="0" collapsed="false">
      <c r="A13" s="47" t="s">
        <v>109</v>
      </c>
      <c r="B13" s="48" t="s">
        <v>146</v>
      </c>
      <c r="C13" s="29" t="s">
        <v>147</v>
      </c>
      <c r="D13" s="49" t="s">
        <v>283</v>
      </c>
      <c r="E13" s="28" t="n">
        <v>1</v>
      </c>
      <c r="F13" s="50" t="str">
        <f aca="false">IF(Master_Results!$D$13="","",IF(D13=Master_Results!$D$13,1,0))</f>
        <v/>
      </c>
      <c r="G13" s="50" t="str">
        <f aca="false">IF(F13="","",E13*F13)</f>
        <v/>
      </c>
    </row>
    <row r="14" customFormat="false" ht="15.75" hidden="false" customHeight="true" outlineLevel="0" collapsed="false">
      <c r="A14" s="47" t="s">
        <v>109</v>
      </c>
      <c r="B14" s="48" t="s">
        <v>148</v>
      </c>
      <c r="C14" s="29" t="s">
        <v>149</v>
      </c>
      <c r="D14" s="49" t="s">
        <v>261</v>
      </c>
      <c r="E14" s="28" t="n">
        <v>1</v>
      </c>
      <c r="F14" s="50" t="str">
        <f aca="false">IF(Master_Results!$D$14="","",IF(D14=Master_Results!$D$14,1,0))</f>
        <v/>
      </c>
      <c r="G14" s="50" t="str">
        <f aca="false">IF(F14="","",E14*F14)</f>
        <v/>
      </c>
    </row>
    <row r="15" customFormat="false" ht="15.75" hidden="false" customHeight="true" outlineLevel="0" collapsed="false">
      <c r="A15" s="47" t="s">
        <v>109</v>
      </c>
      <c r="B15" s="48" t="s">
        <v>150</v>
      </c>
      <c r="C15" s="29" t="s">
        <v>151</v>
      </c>
      <c r="D15" s="49" t="s">
        <v>152</v>
      </c>
      <c r="E15" s="28" t="n">
        <v>1</v>
      </c>
      <c r="F15" s="50" t="n">
        <f aca="false">IF(Master_Results!$D$15="","",IF(D15=Master_Results!$D$15,1,0))</f>
        <v>1</v>
      </c>
      <c r="G15" s="50" t="n">
        <f aca="false">IF(F15="","",E15*F15)</f>
        <v>1</v>
      </c>
    </row>
    <row r="16" customFormat="false" ht="15.75" hidden="false" customHeight="true" outlineLevel="0" collapsed="false">
      <c r="A16" s="47" t="s">
        <v>109</v>
      </c>
      <c r="B16" s="48" t="s">
        <v>153</v>
      </c>
      <c r="C16" s="29" t="s">
        <v>154</v>
      </c>
      <c r="D16" s="49" t="s">
        <v>262</v>
      </c>
      <c r="E16" s="28" t="n">
        <v>1</v>
      </c>
      <c r="F16" s="50" t="str">
        <f aca="false">IF(Master_Results!$D$16="","",IF(D16=Master_Results!$D$16,1,0))</f>
        <v/>
      </c>
      <c r="G16" s="50" t="str">
        <f aca="false">IF(F16="","",E16*F16)</f>
        <v/>
      </c>
    </row>
    <row r="17" customFormat="false" ht="15.75" hidden="false" customHeight="true" outlineLevel="0" collapsed="false">
      <c r="A17" s="47" t="s">
        <v>109</v>
      </c>
      <c r="B17" s="48" t="s">
        <v>155</v>
      </c>
      <c r="C17" s="29" t="s">
        <v>156</v>
      </c>
      <c r="D17" s="49" t="s">
        <v>263</v>
      </c>
      <c r="E17" s="28" t="n">
        <v>1</v>
      </c>
      <c r="F17" s="50" t="str">
        <f aca="false">IF(Master_Results!$D$17="","",IF(D17=Master_Results!$D$17,1,0))</f>
        <v/>
      </c>
      <c r="G17" s="50" t="str">
        <f aca="false">IF(F17="","",E17*F17)</f>
        <v/>
      </c>
    </row>
    <row r="18" customFormat="false" ht="15.75" hidden="false" customHeight="true" outlineLevel="0" collapsed="false">
      <c r="A18" s="47" t="s">
        <v>109</v>
      </c>
      <c r="B18" s="48" t="s">
        <v>157</v>
      </c>
      <c r="C18" s="29" t="s">
        <v>158</v>
      </c>
      <c r="D18" s="49" t="s">
        <v>264</v>
      </c>
      <c r="E18" s="28" t="n">
        <v>1</v>
      </c>
      <c r="F18" s="50" t="str">
        <f aca="false">IF(Master_Results!$D$18="","",IF(D18=Master_Results!$D$18,1,0))</f>
        <v/>
      </c>
      <c r="G18" s="50" t="str">
        <f aca="false">IF(F18="","",E18*F18)</f>
        <v/>
      </c>
    </row>
    <row r="19" customFormat="false" ht="15.75" hidden="false" customHeight="true" outlineLevel="0" collapsed="false">
      <c r="A19" s="47" t="s">
        <v>109</v>
      </c>
      <c r="B19" s="48" t="s">
        <v>159</v>
      </c>
      <c r="C19" s="29" t="s">
        <v>160</v>
      </c>
      <c r="D19" s="49" t="s">
        <v>265</v>
      </c>
      <c r="E19" s="28" t="n">
        <v>1</v>
      </c>
      <c r="F19" s="50" t="str">
        <f aca="false">IF(Master_Results!$D$19="","",IF(D19=Master_Results!$D$19,1,0))</f>
        <v/>
      </c>
      <c r="G19" s="50" t="str">
        <f aca="false">IF(F19="","",E19*F19)</f>
        <v/>
      </c>
    </row>
    <row r="20" customFormat="false" ht="15.75" hidden="false" customHeight="true" outlineLevel="0" collapsed="false">
      <c r="A20" s="47" t="s">
        <v>109</v>
      </c>
      <c r="B20" s="48" t="s">
        <v>161</v>
      </c>
      <c r="C20" s="29" t="s">
        <v>162</v>
      </c>
      <c r="D20" s="49" t="s">
        <v>266</v>
      </c>
      <c r="E20" s="28" t="n">
        <v>1</v>
      </c>
      <c r="F20" s="50" t="str">
        <f aca="false">IF(Master_Results!$D$20="","",IF(D20=Master_Results!$D$20,1,0))</f>
        <v/>
      </c>
      <c r="G20" s="50" t="str">
        <f aca="false">IF(F20="","",E20*F20)</f>
        <v/>
      </c>
    </row>
    <row r="21" customFormat="false" ht="15.75" hidden="false" customHeight="true" outlineLevel="0" collapsed="false">
      <c r="A21" s="47" t="s">
        <v>109</v>
      </c>
      <c r="B21" s="48" t="s">
        <v>163</v>
      </c>
      <c r="C21" s="29" t="s">
        <v>164</v>
      </c>
      <c r="D21" s="49" t="s">
        <v>267</v>
      </c>
      <c r="E21" s="28" t="n">
        <v>1</v>
      </c>
      <c r="F21" s="50" t="str">
        <f aca="false">IF(Master_Results!$D$21="","",IF(D21=Master_Results!$D$21,1,0))</f>
        <v/>
      </c>
      <c r="G21" s="50" t="str">
        <f aca="false">IF(F21="","",E21*F21)</f>
        <v/>
      </c>
    </row>
    <row r="22" customFormat="false" ht="15.75" hidden="false" customHeight="true" outlineLevel="0" collapsed="false">
      <c r="A22" s="47" t="s">
        <v>109</v>
      </c>
      <c r="B22" s="48" t="s">
        <v>165</v>
      </c>
      <c r="C22" s="29" t="s">
        <v>166</v>
      </c>
      <c r="D22" s="49" t="s">
        <v>268</v>
      </c>
      <c r="E22" s="28" t="n">
        <v>1</v>
      </c>
      <c r="F22" s="50" t="str">
        <f aca="false">IF(Master_Results!$D$22="","",IF(D22=Master_Results!$D$22,1,0))</f>
        <v/>
      </c>
      <c r="G22" s="50" t="str">
        <f aca="false">IF(F22="","",E22*F22)</f>
        <v/>
      </c>
    </row>
    <row r="23" customFormat="false" ht="15.75" hidden="false" customHeight="true" outlineLevel="0" collapsed="false">
      <c r="A23" s="47" t="s">
        <v>109</v>
      </c>
      <c r="B23" s="48" t="s">
        <v>167</v>
      </c>
      <c r="C23" s="29" t="s">
        <v>168</v>
      </c>
      <c r="D23" s="49" t="s">
        <v>269</v>
      </c>
      <c r="E23" s="28" t="n">
        <v>1</v>
      </c>
      <c r="F23" s="50" t="str">
        <f aca="false">IF(Master_Results!$D$23="","",IF(D23=Master_Results!$D$23,1,0))</f>
        <v/>
      </c>
      <c r="G23" s="50" t="str">
        <f aca="false">IF(F23="","",E23*F23)</f>
        <v/>
      </c>
    </row>
    <row r="24" customFormat="false" ht="15.75" hidden="false" customHeight="true" outlineLevel="0" collapsed="false">
      <c r="A24" s="47" t="s">
        <v>109</v>
      </c>
      <c r="B24" s="48" t="s">
        <v>169</v>
      </c>
      <c r="C24" s="29" t="s">
        <v>170</v>
      </c>
      <c r="D24" s="49" t="s">
        <v>270</v>
      </c>
      <c r="E24" s="28" t="n">
        <v>1</v>
      </c>
      <c r="F24" s="50" t="str">
        <f aca="false">IF(Master_Results!$D$24="","",IF(D24=Master_Results!$D$24,1,0))</f>
        <v/>
      </c>
      <c r="G24" s="50" t="str">
        <f aca="false">IF(F24="","",E24*F24)</f>
        <v/>
      </c>
    </row>
    <row r="25" customFormat="false" ht="15.75" hidden="false" customHeight="true" outlineLevel="0" collapsed="false">
      <c r="A25" s="47" t="s">
        <v>109</v>
      </c>
      <c r="B25" s="48" t="s">
        <v>171</v>
      </c>
      <c r="C25" s="29" t="s">
        <v>172</v>
      </c>
      <c r="D25" s="49" t="s">
        <v>271</v>
      </c>
      <c r="E25" s="28" t="n">
        <v>1</v>
      </c>
      <c r="F25" s="50" t="str">
        <f aca="false">IF(Master_Results!$D$25="","",IF(D25=Master_Results!$D$25,1,0))</f>
        <v/>
      </c>
      <c r="G25" s="50" t="str">
        <f aca="false">IF(F25="","",E25*F25)</f>
        <v/>
      </c>
    </row>
    <row r="26" customFormat="false" ht="15.75" hidden="false" customHeight="true" outlineLevel="0" collapsed="false">
      <c r="A26" s="47" t="s">
        <v>109</v>
      </c>
      <c r="B26" s="48" t="s">
        <v>173</v>
      </c>
      <c r="C26" s="29" t="s">
        <v>174</v>
      </c>
      <c r="D26" s="49" t="s">
        <v>305</v>
      </c>
      <c r="E26" s="28" t="n">
        <v>1</v>
      </c>
      <c r="F26" s="50" t="str">
        <f aca="false">IF(Master_Results!$D$26="","",IF(D26=Master_Results!$D$26,1,0))</f>
        <v/>
      </c>
      <c r="G26" s="50" t="str">
        <f aca="false">IF(F26="","",E26*F26)</f>
        <v/>
      </c>
    </row>
    <row r="27" customFormat="false" ht="15.75" hidden="false" customHeight="true" outlineLevel="0" collapsed="false">
      <c r="A27" s="47" t="s">
        <v>109</v>
      </c>
      <c r="B27" s="48" t="s">
        <v>175</v>
      </c>
      <c r="C27" s="29" t="s">
        <v>176</v>
      </c>
      <c r="D27" s="49" t="s">
        <v>273</v>
      </c>
      <c r="E27" s="28" t="n">
        <v>1</v>
      </c>
      <c r="F27" s="50" t="str">
        <f aca="false">IF(Master_Results!$D$27="","",IF(D27=Master_Results!$D$27,1,0))</f>
        <v/>
      </c>
      <c r="G27" s="50" t="str">
        <f aca="false">IF(F27="","",E27*F27)</f>
        <v/>
      </c>
    </row>
    <row r="28" customFormat="false" ht="15.75" hidden="false" customHeight="true" outlineLevel="0" collapsed="false">
      <c r="A28" s="47" t="s">
        <v>109</v>
      </c>
      <c r="B28" s="48" t="s">
        <v>177</v>
      </c>
      <c r="C28" s="29" t="s">
        <v>178</v>
      </c>
      <c r="D28" s="49" t="s">
        <v>274</v>
      </c>
      <c r="E28" s="28" t="n">
        <v>1</v>
      </c>
      <c r="F28" s="50" t="str">
        <f aca="false">IF(Master_Results!$D$28="","",IF(D28=Master_Results!$D$28,1,0))</f>
        <v/>
      </c>
      <c r="G28" s="50" t="str">
        <f aca="false">IF(F28="","",E28*F28)</f>
        <v/>
      </c>
    </row>
    <row r="29" customFormat="false" ht="15.75" hidden="false" customHeight="true" outlineLevel="0" collapsed="false">
      <c r="A29" s="47" t="s">
        <v>109</v>
      </c>
      <c r="B29" s="48" t="s">
        <v>179</v>
      </c>
      <c r="C29" s="29" t="s">
        <v>180</v>
      </c>
      <c r="D29" s="49" t="s">
        <v>296</v>
      </c>
      <c r="E29" s="28" t="n">
        <v>1</v>
      </c>
      <c r="F29" s="50" t="str">
        <f aca="false">IF(Master_Results!$D$29="","",IF(D29=Master_Results!$D$29,1,0))</f>
        <v/>
      </c>
      <c r="G29" s="50" t="str">
        <f aca="false">IF(F29="","",E29*F29)</f>
        <v/>
      </c>
    </row>
    <row r="30" customFormat="false" ht="15.75" hidden="false" customHeight="true" outlineLevel="0" collapsed="false">
      <c r="A30" s="47" t="s">
        <v>109</v>
      </c>
      <c r="B30" s="48" t="s">
        <v>181</v>
      </c>
      <c r="C30" s="29" t="s">
        <v>182</v>
      </c>
      <c r="D30" s="49" t="s">
        <v>276</v>
      </c>
      <c r="E30" s="28" t="n">
        <v>1</v>
      </c>
      <c r="F30" s="50" t="str">
        <f aca="false">IF(Master_Results!$D$30="","",IF(D30=Master_Results!$D$30,1,0))</f>
        <v/>
      </c>
      <c r="G30" s="50" t="str">
        <f aca="false">IF(F30="","",E30*F30)</f>
        <v/>
      </c>
    </row>
    <row r="31" customFormat="false" ht="15.75" hidden="false" customHeight="true" outlineLevel="0" collapsed="false">
      <c r="A31" s="47" t="s">
        <v>109</v>
      </c>
      <c r="B31" s="48" t="s">
        <v>183</v>
      </c>
      <c r="C31" s="29" t="s">
        <v>184</v>
      </c>
      <c r="D31" s="49" t="s">
        <v>277</v>
      </c>
      <c r="E31" s="28" t="n">
        <v>1</v>
      </c>
      <c r="F31" s="50" t="str">
        <f aca="false">IF(Master_Results!$D$31="","",IF(D31=Master_Results!$D$31,1,0))</f>
        <v/>
      </c>
      <c r="G31" s="50" t="str">
        <f aca="false">IF(F31="","",E31*F31)</f>
        <v/>
      </c>
    </row>
    <row r="32" customFormat="false" ht="15.75" hidden="false" customHeight="true" outlineLevel="0" collapsed="false">
      <c r="A32" s="47" t="s">
        <v>109</v>
      </c>
      <c r="B32" s="48" t="s">
        <v>185</v>
      </c>
      <c r="C32" s="29" t="s">
        <v>186</v>
      </c>
      <c r="D32" s="49" t="s">
        <v>278</v>
      </c>
      <c r="E32" s="28" t="n">
        <v>1</v>
      </c>
      <c r="F32" s="50" t="str">
        <f aca="false">IF(Master_Results!$D$32="","",IF(D32=Master_Results!$D$32,1,0))</f>
        <v/>
      </c>
      <c r="G32" s="50" t="str">
        <f aca="false">IF(F32="","",E32*F32)</f>
        <v/>
      </c>
    </row>
    <row r="33" customFormat="false" ht="15.75" hidden="false" customHeight="true" outlineLevel="0" collapsed="false">
      <c r="A33" s="47" t="s">
        <v>109</v>
      </c>
      <c r="B33" s="48" t="s">
        <v>187</v>
      </c>
      <c r="C33" s="29" t="s">
        <v>188</v>
      </c>
      <c r="D33" s="49" t="s">
        <v>279</v>
      </c>
      <c r="E33" s="28" t="n">
        <v>1</v>
      </c>
      <c r="F33" s="50" t="str">
        <f aca="false">IF(Master_Results!$D$33="","",IF(D33=Master_Results!$D$33,1,0))</f>
        <v/>
      </c>
      <c r="G33" s="50" t="str">
        <f aca="false">IF(F33="","",E33*F33)</f>
        <v/>
      </c>
    </row>
    <row r="34" customFormat="false" ht="15.75" hidden="false" customHeight="true" outlineLevel="0" collapsed="false">
      <c r="A34" s="47" t="s">
        <v>109</v>
      </c>
      <c r="B34" s="48" t="s">
        <v>189</v>
      </c>
      <c r="C34" s="29" t="s">
        <v>190</v>
      </c>
      <c r="D34" s="49" t="s">
        <v>280</v>
      </c>
      <c r="E34" s="28" t="n">
        <v>1</v>
      </c>
      <c r="F34" s="50" t="str">
        <f aca="false">IF(Master_Results!$D$34="","",IF(D34=Master_Results!$D$34,1,0))</f>
        <v/>
      </c>
      <c r="G34" s="50" t="str">
        <f aca="false">IF(F34="","",E34*F34)</f>
        <v/>
      </c>
    </row>
    <row r="35" customFormat="false" ht="15.75" hidden="false" customHeight="true" outlineLevel="0" collapsed="false">
      <c r="A35" s="47" t="s">
        <v>109</v>
      </c>
      <c r="B35" s="48" t="s">
        <v>191</v>
      </c>
      <c r="C35" s="29" t="s">
        <v>192</v>
      </c>
      <c r="D35" s="49" t="s">
        <v>281</v>
      </c>
      <c r="E35" s="28" t="n">
        <v>1</v>
      </c>
      <c r="F35" s="50" t="str">
        <f aca="false">IF(Master_Results!$D$35="","",IF(D35=Master_Results!$D$35,1,0))</f>
        <v/>
      </c>
      <c r="G35" s="50" t="str">
        <f aca="false">IF(F35="","",E35*F35)</f>
        <v/>
      </c>
    </row>
    <row r="36" customFormat="false" ht="19.5" hidden="false" customHeight="true" outlineLevel="0" collapsed="false">
      <c r="A36" s="31" t="s">
        <v>282</v>
      </c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>
      <c r="A37" s="51" t="s">
        <v>110</v>
      </c>
      <c r="B37" s="52" t="s">
        <v>194</v>
      </c>
      <c r="C37" s="33" t="s">
        <v>195</v>
      </c>
      <c r="D37" s="53" t="s">
        <v>252</v>
      </c>
      <c r="E37" s="32" t="n">
        <v>2</v>
      </c>
      <c r="F37" s="54" t="str">
        <f aca="false">IF(Master_Results!$D$37="","",IF(D37=Master_Results!$D$37,1,0))</f>
        <v/>
      </c>
      <c r="G37" s="54" t="str">
        <f aca="false">IF(F37="","",E37*F37)</f>
        <v/>
      </c>
    </row>
    <row r="38" customFormat="false" ht="15.75" hidden="false" customHeight="true" outlineLevel="0" collapsed="false">
      <c r="A38" s="51" t="s">
        <v>110</v>
      </c>
      <c r="B38" s="52" t="s">
        <v>196</v>
      </c>
      <c r="C38" s="33" t="s">
        <v>197</v>
      </c>
      <c r="D38" s="53" t="s">
        <v>254</v>
      </c>
      <c r="E38" s="32" t="n">
        <v>2</v>
      </c>
      <c r="F38" s="54" t="str">
        <f aca="false">IF(Master_Results!$D$38="","",IF(D38=Master_Results!$D$38,1,0))</f>
        <v/>
      </c>
      <c r="G38" s="54" t="str">
        <f aca="false">IF(F38="","",E38*F38)</f>
        <v/>
      </c>
    </row>
    <row r="39" customFormat="false" ht="15.75" hidden="false" customHeight="true" outlineLevel="0" collapsed="false">
      <c r="A39" s="51" t="s">
        <v>110</v>
      </c>
      <c r="B39" s="52" t="s">
        <v>198</v>
      </c>
      <c r="C39" s="33" t="s">
        <v>199</v>
      </c>
      <c r="D39" s="53" t="s">
        <v>256</v>
      </c>
      <c r="E39" s="32" t="n">
        <v>2</v>
      </c>
      <c r="F39" s="54" t="str">
        <f aca="false">IF(Master_Results!$D$39="","",IF(D39=Master_Results!$D$39,1,0))</f>
        <v/>
      </c>
      <c r="G39" s="54" t="str">
        <f aca="false">IF(F39="","",E39*F39)</f>
        <v/>
      </c>
    </row>
    <row r="40" customFormat="false" ht="15.75" hidden="false" customHeight="true" outlineLevel="0" collapsed="false">
      <c r="A40" s="51" t="s">
        <v>110</v>
      </c>
      <c r="B40" s="52" t="s">
        <v>200</v>
      </c>
      <c r="C40" s="33" t="s">
        <v>201</v>
      </c>
      <c r="D40" s="53" t="s">
        <v>258</v>
      </c>
      <c r="E40" s="32" t="n">
        <v>2</v>
      </c>
      <c r="F40" s="54" t="str">
        <f aca="false">IF(Master_Results!$D$40="","",IF(D40=Master_Results!$D$40,1,0))</f>
        <v/>
      </c>
      <c r="G40" s="54" t="str">
        <f aca="false">IF(F40="","",E40*F40)</f>
        <v/>
      </c>
    </row>
    <row r="41" customFormat="false" ht="15.75" hidden="false" customHeight="true" outlineLevel="0" collapsed="false">
      <c r="A41" s="51" t="s">
        <v>110</v>
      </c>
      <c r="B41" s="52" t="s">
        <v>202</v>
      </c>
      <c r="C41" s="33" t="s">
        <v>203</v>
      </c>
      <c r="D41" s="53" t="s">
        <v>259</v>
      </c>
      <c r="E41" s="32" t="n">
        <v>2</v>
      </c>
      <c r="F41" s="54" t="str">
        <f aca="false">IF(Master_Results!$D$41="","",IF(D41=Master_Results!$D$41,1,0))</f>
        <v/>
      </c>
      <c r="G41" s="54" t="str">
        <f aca="false">IF(F41="","",E41*F41)</f>
        <v/>
      </c>
    </row>
    <row r="42" customFormat="false" ht="15.75" hidden="false" customHeight="true" outlineLevel="0" collapsed="false">
      <c r="A42" s="51" t="s">
        <v>110</v>
      </c>
      <c r="B42" s="52" t="s">
        <v>204</v>
      </c>
      <c r="C42" s="33" t="s">
        <v>205</v>
      </c>
      <c r="D42" s="53" t="s">
        <v>152</v>
      </c>
      <c r="E42" s="32" t="n">
        <v>2</v>
      </c>
      <c r="F42" s="54" t="str">
        <f aca="false">IF(Master_Results!$D$42="","",IF(D42=Master_Results!$D$42,1,0))</f>
        <v/>
      </c>
      <c r="G42" s="54" t="str">
        <f aca="false">IF(F42="","",E42*F42)</f>
        <v/>
      </c>
    </row>
    <row r="43" customFormat="false" ht="15.75" hidden="false" customHeight="true" outlineLevel="0" collapsed="false">
      <c r="A43" s="51" t="s">
        <v>110</v>
      </c>
      <c r="B43" s="52" t="s">
        <v>206</v>
      </c>
      <c r="C43" s="33" t="s">
        <v>207</v>
      </c>
      <c r="D43" s="53" t="s">
        <v>262</v>
      </c>
      <c r="E43" s="32" t="n">
        <v>2</v>
      </c>
      <c r="F43" s="54" t="str">
        <f aca="false">IF(Master_Results!$D$43="","",IF(D43=Master_Results!$D$43,1,0))</f>
        <v/>
      </c>
      <c r="G43" s="54" t="str">
        <f aca="false">IF(F43="","",E43*F43)</f>
        <v/>
      </c>
    </row>
    <row r="44" customFormat="false" ht="15.75" hidden="false" customHeight="true" outlineLevel="0" collapsed="false">
      <c r="A44" s="51" t="s">
        <v>110</v>
      </c>
      <c r="B44" s="52" t="s">
        <v>208</v>
      </c>
      <c r="C44" s="33" t="s">
        <v>209</v>
      </c>
      <c r="D44" s="53" t="s">
        <v>265</v>
      </c>
      <c r="E44" s="32" t="n">
        <v>2</v>
      </c>
      <c r="F44" s="54" t="str">
        <f aca="false">IF(Master_Results!$D$44="","",IF(D44=Master_Results!$D$44,1,0))</f>
        <v/>
      </c>
      <c r="G44" s="54" t="str">
        <f aca="false">IF(F44="","",E44*F44)</f>
        <v/>
      </c>
    </row>
    <row r="45" customFormat="false" ht="15.75" hidden="false" customHeight="true" outlineLevel="0" collapsed="false">
      <c r="A45" s="51" t="s">
        <v>110</v>
      </c>
      <c r="B45" s="52" t="s">
        <v>210</v>
      </c>
      <c r="C45" s="33" t="s">
        <v>211</v>
      </c>
      <c r="D45" s="53" t="s">
        <v>266</v>
      </c>
      <c r="E45" s="32" t="n">
        <v>2</v>
      </c>
      <c r="F45" s="54" t="str">
        <f aca="false">IF(Master_Results!$D$45="","",IF(D45=Master_Results!$D$45,1,0))</f>
        <v/>
      </c>
      <c r="G45" s="54" t="str">
        <f aca="false">IF(F45="","",E45*F45)</f>
        <v/>
      </c>
    </row>
    <row r="46" customFormat="false" ht="15.75" hidden="false" customHeight="true" outlineLevel="0" collapsed="false">
      <c r="A46" s="51" t="s">
        <v>110</v>
      </c>
      <c r="B46" s="52" t="s">
        <v>212</v>
      </c>
      <c r="C46" s="33" t="s">
        <v>213</v>
      </c>
      <c r="D46" s="53" t="s">
        <v>269</v>
      </c>
      <c r="E46" s="32" t="n">
        <v>2</v>
      </c>
      <c r="F46" s="54" t="str">
        <f aca="false">IF(Master_Results!$D$46="","",IF(D46=Master_Results!$D$46,1,0))</f>
        <v/>
      </c>
      <c r="G46" s="54" t="str">
        <f aca="false">IF(F46="","",E46*F46)</f>
        <v/>
      </c>
    </row>
    <row r="47" customFormat="false" ht="15.75" hidden="false" customHeight="true" outlineLevel="0" collapsed="false">
      <c r="A47" s="51" t="s">
        <v>110</v>
      </c>
      <c r="B47" s="52" t="s">
        <v>214</v>
      </c>
      <c r="C47" s="33" t="s">
        <v>215</v>
      </c>
      <c r="D47" s="53" t="s">
        <v>270</v>
      </c>
      <c r="E47" s="32" t="n">
        <v>2</v>
      </c>
      <c r="F47" s="54" t="str">
        <f aca="false">IF(Master_Results!$D$47="","",IF(D47=Master_Results!$D$47,1,0))</f>
        <v/>
      </c>
      <c r="G47" s="54" t="str">
        <f aca="false">IF(F47="","",E47*F47)</f>
        <v/>
      </c>
    </row>
    <row r="48" customFormat="false" ht="15.75" hidden="false" customHeight="true" outlineLevel="0" collapsed="false">
      <c r="A48" s="51" t="s">
        <v>110</v>
      </c>
      <c r="B48" s="52" t="s">
        <v>216</v>
      </c>
      <c r="C48" s="33" t="s">
        <v>217</v>
      </c>
      <c r="D48" s="53" t="s">
        <v>273</v>
      </c>
      <c r="E48" s="32" t="n">
        <v>2</v>
      </c>
      <c r="F48" s="54" t="str">
        <f aca="false">IF(Master_Results!$D$48="","",IF(D48=Master_Results!$D$48,1,0))</f>
        <v/>
      </c>
      <c r="G48" s="54" t="str">
        <f aca="false">IF(F48="","",E48*F48)</f>
        <v/>
      </c>
    </row>
    <row r="49" customFormat="false" ht="15.75" hidden="false" customHeight="true" outlineLevel="0" collapsed="false">
      <c r="A49" s="51" t="s">
        <v>110</v>
      </c>
      <c r="B49" s="52" t="s">
        <v>218</v>
      </c>
      <c r="C49" s="33" t="s">
        <v>219</v>
      </c>
      <c r="D49" s="53" t="s">
        <v>274</v>
      </c>
      <c r="E49" s="32" t="n">
        <v>2</v>
      </c>
      <c r="F49" s="54" t="str">
        <f aca="false">IF(Master_Results!$D$49="","",IF(D49=Master_Results!$D$49,1,0))</f>
        <v/>
      </c>
      <c r="G49" s="54" t="str">
        <f aca="false">IF(F49="","",E49*F49)</f>
        <v/>
      </c>
    </row>
    <row r="50" customFormat="false" ht="15.75" hidden="false" customHeight="true" outlineLevel="0" collapsed="false">
      <c r="A50" s="51" t="s">
        <v>110</v>
      </c>
      <c r="B50" s="52" t="s">
        <v>220</v>
      </c>
      <c r="C50" s="33" t="s">
        <v>221</v>
      </c>
      <c r="D50" s="53" t="s">
        <v>276</v>
      </c>
      <c r="E50" s="32" t="n">
        <v>2</v>
      </c>
      <c r="F50" s="54" t="str">
        <f aca="false">IF(Master_Results!$D$50="","",IF(D50=Master_Results!$D$50,1,0))</f>
        <v/>
      </c>
      <c r="G50" s="54" t="str">
        <f aca="false">IF(F50="","",E50*F50)</f>
        <v/>
      </c>
    </row>
    <row r="51" customFormat="false" ht="15.75" hidden="false" customHeight="true" outlineLevel="0" collapsed="false">
      <c r="A51" s="51" t="s">
        <v>110</v>
      </c>
      <c r="B51" s="52" t="s">
        <v>222</v>
      </c>
      <c r="C51" s="33" t="s">
        <v>223</v>
      </c>
      <c r="D51" s="53" t="s">
        <v>278</v>
      </c>
      <c r="E51" s="32" t="n">
        <v>2</v>
      </c>
      <c r="F51" s="54" t="str">
        <f aca="false">IF(Master_Results!$D$51="","",IF(D51=Master_Results!$D$51,1,0))</f>
        <v/>
      </c>
      <c r="G51" s="54" t="str">
        <f aca="false">IF(F51="","",E51*F51)</f>
        <v/>
      </c>
    </row>
    <row r="52" customFormat="false" ht="15.75" hidden="false" customHeight="true" outlineLevel="0" collapsed="false">
      <c r="A52" s="51" t="s">
        <v>110</v>
      </c>
      <c r="B52" s="52" t="s">
        <v>224</v>
      </c>
      <c r="C52" s="33" t="s">
        <v>225</v>
      </c>
      <c r="D52" s="53" t="s">
        <v>281</v>
      </c>
      <c r="E52" s="32" t="n">
        <v>2</v>
      </c>
      <c r="F52" s="54" t="str">
        <f aca="false">IF(Master_Results!$D$52="","",IF(D52=Master_Results!$D$52,1,0))</f>
        <v/>
      </c>
      <c r="G52" s="54" t="str">
        <f aca="false">IF(F52="","",E52*F52)</f>
        <v/>
      </c>
    </row>
    <row r="53" customFormat="false" ht="19.5" hidden="false" customHeight="true" outlineLevel="0" collapsed="false">
      <c r="A53" s="34" t="s">
        <v>284</v>
      </c>
      <c r="B53" s="34"/>
      <c r="C53" s="34"/>
      <c r="D53" s="34"/>
      <c r="E53" s="34"/>
      <c r="F53" s="34"/>
      <c r="G53" s="34"/>
      <c r="H53" s="34"/>
    </row>
    <row r="54" customFormat="false" ht="15.75" hidden="false" customHeight="true" outlineLevel="0" collapsed="false">
      <c r="A54" s="55" t="s">
        <v>111</v>
      </c>
      <c r="B54" s="56" t="s">
        <v>227</v>
      </c>
      <c r="C54" s="36" t="s">
        <v>195</v>
      </c>
      <c r="D54" s="57" t="s">
        <v>252</v>
      </c>
      <c r="E54" s="35" t="n">
        <v>4</v>
      </c>
      <c r="F54" s="58" t="str">
        <f aca="false">IF(Master_Results!$D$54="","",IF(D54=Master_Results!$D$54,1,0))</f>
        <v/>
      </c>
      <c r="G54" s="58" t="str">
        <f aca="false">IF(F54="","",E54*F54)</f>
        <v/>
      </c>
    </row>
    <row r="55" customFormat="false" ht="15.75" hidden="false" customHeight="true" outlineLevel="0" collapsed="false">
      <c r="A55" s="55" t="s">
        <v>111</v>
      </c>
      <c r="B55" s="56" t="s">
        <v>228</v>
      </c>
      <c r="C55" s="36" t="s">
        <v>197</v>
      </c>
      <c r="D55" s="57" t="s">
        <v>258</v>
      </c>
      <c r="E55" s="35" t="n">
        <v>4</v>
      </c>
      <c r="F55" s="58" t="str">
        <f aca="false">IF(Master_Results!$D$55="","",IF(D55=Master_Results!$D$55,1,0))</f>
        <v/>
      </c>
      <c r="G55" s="58" t="str">
        <f aca="false">IF(F55="","",E55*F55)</f>
        <v/>
      </c>
    </row>
    <row r="56" customFormat="false" ht="15.75" hidden="false" customHeight="true" outlineLevel="0" collapsed="false">
      <c r="A56" s="55" t="s">
        <v>111</v>
      </c>
      <c r="B56" s="56" t="s">
        <v>229</v>
      </c>
      <c r="C56" s="36" t="s">
        <v>199</v>
      </c>
      <c r="D56" s="57" t="s">
        <v>262</v>
      </c>
      <c r="E56" s="35" t="n">
        <v>4</v>
      </c>
      <c r="F56" s="58" t="str">
        <f aca="false">IF(Master_Results!$D$56="","",IF(D56=Master_Results!$D$56,1,0))</f>
        <v/>
      </c>
      <c r="G56" s="58" t="str">
        <f aca="false">IF(F56="","",E56*F56)</f>
        <v/>
      </c>
    </row>
    <row r="57" customFormat="false" ht="15.75" hidden="false" customHeight="true" outlineLevel="0" collapsed="false">
      <c r="A57" s="55" t="s">
        <v>111</v>
      </c>
      <c r="B57" s="56" t="s">
        <v>230</v>
      </c>
      <c r="C57" s="36" t="s">
        <v>201</v>
      </c>
      <c r="D57" s="57" t="s">
        <v>265</v>
      </c>
      <c r="E57" s="35" t="n">
        <v>4</v>
      </c>
      <c r="F57" s="58" t="str">
        <f aca="false">IF(Master_Results!$D$57="","",IF(D57=Master_Results!$D$57,1,0))</f>
        <v/>
      </c>
      <c r="G57" s="58" t="str">
        <f aca="false">IF(F57="","",E57*F57)</f>
        <v/>
      </c>
    </row>
    <row r="58" customFormat="false" ht="15.75" hidden="false" customHeight="true" outlineLevel="0" collapsed="false">
      <c r="A58" s="55" t="s">
        <v>111</v>
      </c>
      <c r="B58" s="56" t="s">
        <v>231</v>
      </c>
      <c r="C58" s="36" t="s">
        <v>203</v>
      </c>
      <c r="D58" s="57" t="s">
        <v>266</v>
      </c>
      <c r="E58" s="35" t="n">
        <v>4</v>
      </c>
      <c r="F58" s="58" t="str">
        <f aca="false">IF(Master_Results!$D$58="","",IF(D58=Master_Results!$D$58,1,0))</f>
        <v/>
      </c>
      <c r="G58" s="58" t="str">
        <f aca="false">IF(F58="","",E58*F58)</f>
        <v/>
      </c>
    </row>
    <row r="59" customFormat="false" ht="15.75" hidden="false" customHeight="true" outlineLevel="0" collapsed="false">
      <c r="A59" s="55" t="s">
        <v>111</v>
      </c>
      <c r="B59" s="56" t="s">
        <v>232</v>
      </c>
      <c r="C59" s="36" t="s">
        <v>205</v>
      </c>
      <c r="D59" s="57" t="s">
        <v>273</v>
      </c>
      <c r="E59" s="35" t="n">
        <v>4</v>
      </c>
      <c r="F59" s="58" t="str">
        <f aca="false">IF(Master_Results!$D$59="","",IF(D59=Master_Results!$D$59,1,0))</f>
        <v/>
      </c>
      <c r="G59" s="58" t="str">
        <f aca="false">IF(F59="","",E59*F59)</f>
        <v/>
      </c>
    </row>
    <row r="60" customFormat="false" ht="15.75" hidden="false" customHeight="true" outlineLevel="0" collapsed="false">
      <c r="A60" s="55" t="s">
        <v>111</v>
      </c>
      <c r="B60" s="56" t="s">
        <v>233</v>
      </c>
      <c r="C60" s="36" t="s">
        <v>207</v>
      </c>
      <c r="D60" s="57" t="s">
        <v>274</v>
      </c>
      <c r="E60" s="35" t="n">
        <v>4</v>
      </c>
      <c r="F60" s="58" t="str">
        <f aca="false">IF(Master_Results!$D$60="","",IF(D60=Master_Results!$D$60,1,0))</f>
        <v/>
      </c>
      <c r="G60" s="58" t="str">
        <f aca="false">IF(F60="","",E60*F60)</f>
        <v/>
      </c>
    </row>
    <row r="61" customFormat="false" ht="15.75" hidden="false" customHeight="true" outlineLevel="0" collapsed="false">
      <c r="A61" s="55" t="s">
        <v>111</v>
      </c>
      <c r="B61" s="56" t="s">
        <v>234</v>
      </c>
      <c r="C61" s="36" t="s">
        <v>209</v>
      </c>
      <c r="D61" s="57" t="s">
        <v>277</v>
      </c>
      <c r="E61" s="35" t="n">
        <v>4</v>
      </c>
      <c r="F61" s="58" t="str">
        <f aca="false">IF(Master_Results!$D$61="","",IF(D61=Master_Results!$D$61,1,0))</f>
        <v/>
      </c>
      <c r="G61" s="58" t="str">
        <f aca="false">IF(F61="","",E61*F61)</f>
        <v/>
      </c>
    </row>
    <row r="62" customFormat="false" ht="19.5" hidden="false" customHeight="true" outlineLevel="0" collapsed="false">
      <c r="A62" s="37" t="s">
        <v>285</v>
      </c>
      <c r="B62" s="37"/>
      <c r="C62" s="37"/>
      <c r="D62" s="37"/>
      <c r="E62" s="37"/>
      <c r="F62" s="37"/>
      <c r="G62" s="37"/>
      <c r="H62" s="37"/>
    </row>
    <row r="63" customFormat="false" ht="15.75" hidden="false" customHeight="true" outlineLevel="0" collapsed="false">
      <c r="A63" s="59" t="s">
        <v>112</v>
      </c>
      <c r="B63" s="60" t="s">
        <v>236</v>
      </c>
      <c r="C63" s="39" t="s">
        <v>195</v>
      </c>
      <c r="D63" s="61" t="s">
        <v>258</v>
      </c>
      <c r="E63" s="38" t="n">
        <v>8</v>
      </c>
      <c r="F63" s="62" t="str">
        <f aca="false">IF(Master_Results!$D$63="","",IF(D63=Master_Results!$D$63,1,0))</f>
        <v/>
      </c>
      <c r="G63" s="62" t="str">
        <f aca="false">IF(F63="","",E63*F63)</f>
        <v/>
      </c>
    </row>
    <row r="64" customFormat="false" ht="15.75" hidden="false" customHeight="true" outlineLevel="0" collapsed="false">
      <c r="A64" s="59" t="s">
        <v>112</v>
      </c>
      <c r="B64" s="60" t="s">
        <v>237</v>
      </c>
      <c r="C64" s="39" t="s">
        <v>197</v>
      </c>
      <c r="D64" s="61" t="s">
        <v>262</v>
      </c>
      <c r="E64" s="38" t="n">
        <v>8</v>
      </c>
      <c r="F64" s="62" t="str">
        <f aca="false">IF(Master_Results!$D$64="","",IF(D64=Master_Results!$D$64,1,0))</f>
        <v/>
      </c>
      <c r="G64" s="62" t="str">
        <f aca="false">IF(F64="","",E64*F64)</f>
        <v/>
      </c>
    </row>
    <row r="65" customFormat="false" ht="15.75" hidden="false" customHeight="true" outlineLevel="0" collapsed="false">
      <c r="A65" s="59" t="s">
        <v>112</v>
      </c>
      <c r="B65" s="60" t="s">
        <v>238</v>
      </c>
      <c r="C65" s="39" t="s">
        <v>199</v>
      </c>
      <c r="D65" s="61" t="s">
        <v>266</v>
      </c>
      <c r="E65" s="38" t="n">
        <v>8</v>
      </c>
      <c r="F65" s="62" t="str">
        <f aca="false">IF(Master_Results!$D$65="","",IF(D65=Master_Results!$D$65,1,0))</f>
        <v/>
      </c>
      <c r="G65" s="62" t="str">
        <f aca="false">IF(F65="","",E65*F65)</f>
        <v/>
      </c>
    </row>
    <row r="66" customFormat="false" ht="15.75" hidden="false" customHeight="true" outlineLevel="0" collapsed="false">
      <c r="A66" s="59" t="s">
        <v>112</v>
      </c>
      <c r="B66" s="60" t="s">
        <v>239</v>
      </c>
      <c r="C66" s="39" t="s">
        <v>201</v>
      </c>
      <c r="D66" s="61" t="s">
        <v>274</v>
      </c>
      <c r="E66" s="38" t="n">
        <v>8</v>
      </c>
      <c r="F66" s="62" t="str">
        <f aca="false">IF(Master_Results!$D$66="","",IF(D66=Master_Results!$D$66,1,0))</f>
        <v/>
      </c>
      <c r="G66" s="62" t="str">
        <f aca="false">IF(F66="","",E66*F66)</f>
        <v/>
      </c>
    </row>
    <row r="67" customFormat="false" ht="19.5" hidden="false" customHeight="true" outlineLevel="0" collapsed="false">
      <c r="A67" s="40" t="s">
        <v>286</v>
      </c>
      <c r="B67" s="40"/>
      <c r="C67" s="40"/>
      <c r="D67" s="40"/>
      <c r="E67" s="40"/>
      <c r="F67" s="40"/>
      <c r="G67" s="40"/>
      <c r="H67" s="40"/>
    </row>
    <row r="68" customFormat="false" ht="15.75" hidden="false" customHeight="true" outlineLevel="0" collapsed="false">
      <c r="A68" s="63" t="s">
        <v>241</v>
      </c>
      <c r="B68" s="64" t="s">
        <v>242</v>
      </c>
      <c r="C68" s="42" t="s">
        <v>195</v>
      </c>
      <c r="D68" s="65" t="s">
        <v>258</v>
      </c>
      <c r="E68" s="41" t="n">
        <v>16</v>
      </c>
      <c r="F68" s="66" t="str">
        <f aca="false">IF(Master_Results!$D$68="","",IF(D68=Master_Results!$D$68,1,0))</f>
        <v/>
      </c>
      <c r="G68" s="66" t="str">
        <f aca="false">IF(F68="","",E68*F68)</f>
        <v/>
      </c>
    </row>
    <row r="69" customFormat="false" ht="15.75" hidden="false" customHeight="true" outlineLevel="0" collapsed="false">
      <c r="A69" s="63" t="s">
        <v>241</v>
      </c>
      <c r="B69" s="64" t="s">
        <v>243</v>
      </c>
      <c r="C69" s="42" t="s">
        <v>197</v>
      </c>
      <c r="D69" s="65" t="s">
        <v>266</v>
      </c>
      <c r="E69" s="41" t="n">
        <v>16</v>
      </c>
      <c r="F69" s="66" t="str">
        <f aca="false">IF(Master_Results!$D$69="","",IF(D69=Master_Results!$D$69,1,0))</f>
        <v/>
      </c>
      <c r="G69" s="66" t="str">
        <f aca="false">IF(F69="","",E69*F69)</f>
        <v/>
      </c>
    </row>
    <row r="70" customFormat="false" ht="19.5" hidden="false" customHeight="true" outlineLevel="0" collapsed="false">
      <c r="A70" s="43" t="s">
        <v>287</v>
      </c>
      <c r="B70" s="43"/>
      <c r="C70" s="43"/>
      <c r="D70" s="43"/>
      <c r="E70" s="43"/>
      <c r="F70" s="43"/>
      <c r="G70" s="43"/>
      <c r="H70" s="43"/>
    </row>
    <row r="71" customFormat="false" ht="15.75" hidden="false" customHeight="true" outlineLevel="0" collapsed="false">
      <c r="A71" s="67" t="s">
        <v>114</v>
      </c>
      <c r="B71" s="68" t="s">
        <v>245</v>
      </c>
      <c r="C71" s="45" t="s">
        <v>195</v>
      </c>
      <c r="D71" s="69" t="s">
        <v>266</v>
      </c>
      <c r="E71" s="44" t="n">
        <v>32</v>
      </c>
      <c r="F71" s="70" t="str">
        <f aca="false">IF(Master_Results!$D$71="","",IF(D71=Master_Results!$D$71,1,0))</f>
        <v/>
      </c>
      <c r="G71" s="70" t="str">
        <f aca="false">IF(F71="","",E71*F71)</f>
        <v/>
      </c>
    </row>
    <row r="73" customFormat="false" ht="25.5" hidden="false" customHeight="true" outlineLevel="0" collapsed="false">
      <c r="A73" s="71" t="s">
        <v>288</v>
      </c>
      <c r="B73" s="71"/>
      <c r="C73" s="71"/>
      <c r="D73" s="71"/>
      <c r="E73" s="71"/>
      <c r="F73" s="72" t="s">
        <v>289</v>
      </c>
      <c r="G73" s="73" t="n">
        <f aca="false">SUMIF(F3:F71,1,E3:E71)</f>
        <v>2</v>
      </c>
      <c r="H73" s="74" t="n">
        <f aca="false">SUMIF(F3:F71,"",E3:E71)</f>
        <v>190</v>
      </c>
    </row>
  </sheetData>
  <mergeCells count="8">
    <mergeCell ref="A1:H1"/>
    <mergeCell ref="A3:H3"/>
    <mergeCell ref="A36:H36"/>
    <mergeCell ref="A53:H53"/>
    <mergeCell ref="A62:H62"/>
    <mergeCell ref="A67:H67"/>
    <mergeCell ref="A70:H70"/>
    <mergeCell ref="A73:E73"/>
  </mergeCells>
  <conditionalFormatting sqref="A3:G71">
    <cfRule type="expression" priority="2" aboveAverage="0" equalAverage="0" bottom="0" percent="0" rank="0" text="" dxfId="3">
      <formula>$F3=1</formula>
    </cfRule>
    <cfRule type="expression" priority="3" aboveAverage="0" equalAverage="0" bottom="0" percent="0" rank="0" text="" dxfId="4">
      <formula>$F3=0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6"/>
    <col collapsed="false" customWidth="true" hidden="false" outlineLevel="0" max="2" min="2" style="9" width="11"/>
    <col collapsed="false" customWidth="true" hidden="false" outlineLevel="0" max="3" min="3" style="9" width="36"/>
    <col collapsed="false" customWidth="true" hidden="false" outlineLevel="0" max="4" min="4" style="9" width="18"/>
    <col collapsed="false" customWidth="true" hidden="false" outlineLevel="0" max="5" min="5" style="9" width="9"/>
    <col collapsed="false" customWidth="true" hidden="false" outlineLevel="0" max="6" min="6" style="9" width="10"/>
    <col collapsed="false" customWidth="true" hidden="false" outlineLevel="0" max="7" min="7" style="9" width="11"/>
    <col collapsed="false" customWidth="true" hidden="false" outlineLevel="0" max="8" min="8" style="9" width="12"/>
  </cols>
  <sheetData>
    <row r="1" customFormat="false" ht="30" hidden="false" customHeight="true" outlineLevel="0" collapsed="false">
      <c r="A1" s="26" t="s">
        <v>306</v>
      </c>
      <c r="B1" s="26"/>
      <c r="C1" s="26"/>
      <c r="D1" s="26"/>
      <c r="E1" s="26"/>
      <c r="F1" s="26"/>
      <c r="G1" s="26"/>
      <c r="H1" s="26"/>
    </row>
    <row r="2" customFormat="false" ht="21.75" hidden="false" customHeight="true" outlineLevel="0" collapsed="false">
      <c r="A2" s="12" t="s">
        <v>122</v>
      </c>
      <c r="B2" s="12" t="s">
        <v>123</v>
      </c>
      <c r="C2" s="12" t="s">
        <v>124</v>
      </c>
      <c r="D2" s="12" t="s">
        <v>247</v>
      </c>
      <c r="E2" s="12" t="s">
        <v>248</v>
      </c>
      <c r="F2" s="12" t="s">
        <v>249</v>
      </c>
      <c r="G2" s="12" t="s">
        <v>250</v>
      </c>
      <c r="H2" s="46"/>
    </row>
    <row r="3" customFormat="false" ht="19.5" hidden="false" customHeight="true" outlineLevel="0" collapsed="false">
      <c r="A3" s="27" t="s">
        <v>251</v>
      </c>
      <c r="B3" s="27"/>
      <c r="C3" s="27"/>
      <c r="D3" s="27"/>
      <c r="E3" s="27"/>
      <c r="F3" s="27"/>
      <c r="G3" s="27"/>
      <c r="H3" s="27"/>
    </row>
    <row r="4" customFormat="false" ht="15.75" hidden="false" customHeight="true" outlineLevel="0" collapsed="false">
      <c r="A4" s="47" t="s">
        <v>109</v>
      </c>
      <c r="B4" s="48" t="s">
        <v>127</v>
      </c>
      <c r="C4" s="29" t="s">
        <v>128</v>
      </c>
      <c r="D4" s="49" t="s">
        <v>252</v>
      </c>
      <c r="E4" s="28" t="n">
        <v>1</v>
      </c>
      <c r="F4" s="50" t="str">
        <f aca="false">IF(Master_Results!$D$4="","",IF(D4=Master_Results!$D$4,1,0))</f>
        <v/>
      </c>
      <c r="G4" s="50" t="str">
        <f aca="false">IF(F4="","",E4*F4)</f>
        <v/>
      </c>
    </row>
    <row r="5" customFormat="false" ht="15.75" hidden="false" customHeight="true" outlineLevel="0" collapsed="false">
      <c r="A5" s="47" t="s">
        <v>109</v>
      </c>
      <c r="B5" s="48" t="s">
        <v>129</v>
      </c>
      <c r="C5" s="29" t="s">
        <v>130</v>
      </c>
      <c r="D5" s="49" t="s">
        <v>131</v>
      </c>
      <c r="E5" s="28" t="n">
        <v>1</v>
      </c>
      <c r="F5" s="50" t="n">
        <f aca="false">IF(Master_Results!$D$5="","",IF(D5=Master_Results!$D$5,1,0))</f>
        <v>1</v>
      </c>
      <c r="G5" s="50" t="n">
        <f aca="false">IF(F5="","",E5*F5)</f>
        <v>1</v>
      </c>
    </row>
    <row r="6" customFormat="false" ht="15.75" hidden="false" customHeight="true" outlineLevel="0" collapsed="false">
      <c r="A6" s="47" t="s">
        <v>109</v>
      </c>
      <c r="B6" s="48" t="s">
        <v>132</v>
      </c>
      <c r="C6" s="29" t="s">
        <v>133</v>
      </c>
      <c r="D6" s="49" t="s">
        <v>307</v>
      </c>
      <c r="E6" s="28" t="n">
        <v>1</v>
      </c>
      <c r="F6" s="50" t="str">
        <f aca="false">IF(Master_Results!$D$6="","",IF(D6=Master_Results!$D$6,1,0))</f>
        <v/>
      </c>
      <c r="G6" s="50" t="str">
        <f aca="false">IF(F6="","",E6*F6)</f>
        <v/>
      </c>
    </row>
    <row r="7" customFormat="false" ht="15.75" hidden="false" customHeight="true" outlineLevel="0" collapsed="false">
      <c r="A7" s="47" t="s">
        <v>109</v>
      </c>
      <c r="B7" s="48" t="s">
        <v>134</v>
      </c>
      <c r="C7" s="29" t="s">
        <v>135</v>
      </c>
      <c r="D7" s="49" t="s">
        <v>254</v>
      </c>
      <c r="E7" s="28" t="n">
        <v>1</v>
      </c>
      <c r="F7" s="50" t="str">
        <f aca="false">IF(Master_Results!$D$7="","",IF(D7=Master_Results!$D$7,1,0))</f>
        <v/>
      </c>
      <c r="G7" s="50" t="str">
        <f aca="false">IF(F7="","",E7*F7)</f>
        <v/>
      </c>
    </row>
    <row r="8" customFormat="false" ht="15.75" hidden="false" customHeight="true" outlineLevel="0" collapsed="false">
      <c r="A8" s="47" t="s">
        <v>109</v>
      </c>
      <c r="B8" s="48" t="s">
        <v>136</v>
      </c>
      <c r="C8" s="29" t="s">
        <v>137</v>
      </c>
      <c r="D8" s="49" t="s">
        <v>293</v>
      </c>
      <c r="E8" s="28" t="n">
        <v>1</v>
      </c>
      <c r="F8" s="50" t="str">
        <f aca="false">IF(Master_Results!$D$8="","",IF(D8=Master_Results!$D$8,1,0))</f>
        <v/>
      </c>
      <c r="G8" s="50" t="str">
        <f aca="false">IF(F8="","",E8*F8)</f>
        <v/>
      </c>
    </row>
    <row r="9" customFormat="false" ht="15.75" hidden="false" customHeight="true" outlineLevel="0" collapsed="false">
      <c r="A9" s="47" t="s">
        <v>109</v>
      </c>
      <c r="B9" s="48" t="s">
        <v>138</v>
      </c>
      <c r="C9" s="29" t="s">
        <v>139</v>
      </c>
      <c r="D9" s="49" t="s">
        <v>256</v>
      </c>
      <c r="E9" s="28" t="n">
        <v>1</v>
      </c>
      <c r="F9" s="50" t="str">
        <f aca="false">IF(Master_Results!$D$9="","",IF(D9=Master_Results!$D$9,1,0))</f>
        <v/>
      </c>
      <c r="G9" s="50" t="str">
        <f aca="false">IF(F9="","",E9*F9)</f>
        <v/>
      </c>
    </row>
    <row r="10" customFormat="false" ht="15.75" hidden="false" customHeight="true" outlineLevel="0" collapsed="false">
      <c r="A10" s="47" t="s">
        <v>109</v>
      </c>
      <c r="B10" s="48" t="s">
        <v>140</v>
      </c>
      <c r="C10" s="29" t="s">
        <v>141</v>
      </c>
      <c r="D10" s="49" t="s">
        <v>299</v>
      </c>
      <c r="E10" s="28" t="n">
        <v>1</v>
      </c>
      <c r="F10" s="50" t="str">
        <f aca="false">IF(Master_Results!$D$10="","",IF(D10=Master_Results!$D$10,1,0))</f>
        <v/>
      </c>
      <c r="G10" s="50" t="str">
        <f aca="false">IF(F10="","",E10*F10)</f>
        <v/>
      </c>
    </row>
    <row r="11" customFormat="false" ht="15.75" hidden="false" customHeight="true" outlineLevel="0" collapsed="false">
      <c r="A11" s="47" t="s">
        <v>109</v>
      </c>
      <c r="B11" s="48" t="s">
        <v>142</v>
      </c>
      <c r="C11" s="29" t="s">
        <v>143</v>
      </c>
      <c r="D11" s="49" t="s">
        <v>258</v>
      </c>
      <c r="E11" s="28" t="n">
        <v>1</v>
      </c>
      <c r="F11" s="50" t="str">
        <f aca="false">IF(Master_Results!$D$11="","",IF(D11=Master_Results!$D$11,1,0))</f>
        <v/>
      </c>
      <c r="G11" s="50" t="str">
        <f aca="false">IF(F11="","",E11*F11)</f>
        <v/>
      </c>
    </row>
    <row r="12" customFormat="false" ht="15.75" hidden="false" customHeight="true" outlineLevel="0" collapsed="false">
      <c r="A12" s="47" t="s">
        <v>109</v>
      </c>
      <c r="B12" s="48" t="s">
        <v>144</v>
      </c>
      <c r="C12" s="29" t="s">
        <v>145</v>
      </c>
      <c r="D12" s="49" t="s">
        <v>259</v>
      </c>
      <c r="E12" s="28" t="n">
        <v>1</v>
      </c>
      <c r="F12" s="50" t="str">
        <f aca="false">IF(Master_Results!$D$12="","",IF(D12=Master_Results!$D$12,1,0))</f>
        <v/>
      </c>
      <c r="G12" s="50" t="str">
        <f aca="false">IF(F12="","",E12*F12)</f>
        <v/>
      </c>
    </row>
    <row r="13" customFormat="false" ht="15.75" hidden="false" customHeight="true" outlineLevel="0" collapsed="false">
      <c r="A13" s="47" t="s">
        <v>109</v>
      </c>
      <c r="B13" s="48" t="s">
        <v>146</v>
      </c>
      <c r="C13" s="29" t="s">
        <v>147</v>
      </c>
      <c r="D13" s="49" t="s">
        <v>283</v>
      </c>
      <c r="E13" s="28" t="n">
        <v>1</v>
      </c>
      <c r="F13" s="50" t="str">
        <f aca="false">IF(Master_Results!$D$13="","",IF(D13=Master_Results!$D$13,1,0))</f>
        <v/>
      </c>
      <c r="G13" s="50" t="str">
        <f aca="false">IF(F13="","",E13*F13)</f>
        <v/>
      </c>
    </row>
    <row r="14" customFormat="false" ht="15.75" hidden="false" customHeight="true" outlineLevel="0" collapsed="false">
      <c r="A14" s="47" t="s">
        <v>109</v>
      </c>
      <c r="B14" s="48" t="s">
        <v>148</v>
      </c>
      <c r="C14" s="29" t="s">
        <v>149</v>
      </c>
      <c r="D14" s="49" t="s">
        <v>261</v>
      </c>
      <c r="E14" s="28" t="n">
        <v>1</v>
      </c>
      <c r="F14" s="50" t="str">
        <f aca="false">IF(Master_Results!$D$14="","",IF(D14=Master_Results!$D$14,1,0))</f>
        <v/>
      </c>
      <c r="G14" s="50" t="str">
        <f aca="false">IF(F14="","",E14*F14)</f>
        <v/>
      </c>
    </row>
    <row r="15" customFormat="false" ht="15.75" hidden="false" customHeight="true" outlineLevel="0" collapsed="false">
      <c r="A15" s="47" t="s">
        <v>109</v>
      </c>
      <c r="B15" s="48" t="s">
        <v>150</v>
      </c>
      <c r="C15" s="29" t="s">
        <v>151</v>
      </c>
      <c r="D15" s="49" t="s">
        <v>152</v>
      </c>
      <c r="E15" s="28" t="n">
        <v>1</v>
      </c>
      <c r="F15" s="50" t="n">
        <f aca="false">IF(Master_Results!$D$15="","",IF(D15=Master_Results!$D$15,1,0))</f>
        <v>1</v>
      </c>
      <c r="G15" s="50" t="n">
        <f aca="false">IF(F15="","",E15*F15)</f>
        <v>1</v>
      </c>
    </row>
    <row r="16" customFormat="false" ht="15.75" hidden="false" customHeight="true" outlineLevel="0" collapsed="false">
      <c r="A16" s="47" t="s">
        <v>109</v>
      </c>
      <c r="B16" s="48" t="s">
        <v>153</v>
      </c>
      <c r="C16" s="29" t="s">
        <v>154</v>
      </c>
      <c r="D16" s="49" t="s">
        <v>302</v>
      </c>
      <c r="E16" s="28" t="n">
        <v>1</v>
      </c>
      <c r="F16" s="50" t="str">
        <f aca="false">IF(Master_Results!$D$16="","",IF(D16=Master_Results!$D$16,1,0))</f>
        <v/>
      </c>
      <c r="G16" s="50" t="str">
        <f aca="false">IF(F16="","",E16*F16)</f>
        <v/>
      </c>
    </row>
    <row r="17" customFormat="false" ht="15.75" hidden="false" customHeight="true" outlineLevel="0" collapsed="false">
      <c r="A17" s="47" t="s">
        <v>109</v>
      </c>
      <c r="B17" s="48" t="s">
        <v>155</v>
      </c>
      <c r="C17" s="29" t="s">
        <v>156</v>
      </c>
      <c r="D17" s="49" t="s">
        <v>263</v>
      </c>
      <c r="E17" s="28" t="n">
        <v>1</v>
      </c>
      <c r="F17" s="50" t="str">
        <f aca="false">IF(Master_Results!$D$17="","",IF(D17=Master_Results!$D$17,1,0))</f>
        <v/>
      </c>
      <c r="G17" s="50" t="str">
        <f aca="false">IF(F17="","",E17*F17)</f>
        <v/>
      </c>
    </row>
    <row r="18" customFormat="false" ht="15.75" hidden="false" customHeight="true" outlineLevel="0" collapsed="false">
      <c r="A18" s="47" t="s">
        <v>109</v>
      </c>
      <c r="B18" s="48" t="s">
        <v>157</v>
      </c>
      <c r="C18" s="29" t="s">
        <v>158</v>
      </c>
      <c r="D18" s="49" t="s">
        <v>308</v>
      </c>
      <c r="E18" s="28" t="n">
        <v>1</v>
      </c>
      <c r="F18" s="50" t="str">
        <f aca="false">IF(Master_Results!$D$18="","",IF(D18=Master_Results!$D$18,1,0))</f>
        <v/>
      </c>
      <c r="G18" s="50" t="str">
        <f aca="false">IF(F18="","",E18*F18)</f>
        <v/>
      </c>
    </row>
    <row r="19" customFormat="false" ht="15.75" hidden="false" customHeight="true" outlineLevel="0" collapsed="false">
      <c r="A19" s="47" t="s">
        <v>109</v>
      </c>
      <c r="B19" s="48" t="s">
        <v>159</v>
      </c>
      <c r="C19" s="29" t="s">
        <v>160</v>
      </c>
      <c r="D19" s="49" t="s">
        <v>265</v>
      </c>
      <c r="E19" s="28" t="n">
        <v>1</v>
      </c>
      <c r="F19" s="50" t="str">
        <f aca="false">IF(Master_Results!$D$19="","",IF(D19=Master_Results!$D$19,1,0))</f>
        <v/>
      </c>
      <c r="G19" s="50" t="str">
        <f aca="false">IF(F19="","",E19*F19)</f>
        <v/>
      </c>
    </row>
    <row r="20" customFormat="false" ht="15.75" hidden="false" customHeight="true" outlineLevel="0" collapsed="false">
      <c r="A20" s="47" t="s">
        <v>109</v>
      </c>
      <c r="B20" s="48" t="s">
        <v>161</v>
      </c>
      <c r="C20" s="29" t="s">
        <v>162</v>
      </c>
      <c r="D20" s="49" t="s">
        <v>266</v>
      </c>
      <c r="E20" s="28" t="n">
        <v>1</v>
      </c>
      <c r="F20" s="50" t="str">
        <f aca="false">IF(Master_Results!$D$20="","",IF(D20=Master_Results!$D$20,1,0))</f>
        <v/>
      </c>
      <c r="G20" s="50" t="str">
        <f aca="false">IF(F20="","",E20*F20)</f>
        <v/>
      </c>
    </row>
    <row r="21" customFormat="false" ht="15.75" hidden="false" customHeight="true" outlineLevel="0" collapsed="false">
      <c r="A21" s="47" t="s">
        <v>109</v>
      </c>
      <c r="B21" s="48" t="s">
        <v>163</v>
      </c>
      <c r="C21" s="29" t="s">
        <v>164</v>
      </c>
      <c r="D21" s="49" t="s">
        <v>267</v>
      </c>
      <c r="E21" s="28" t="n">
        <v>1</v>
      </c>
      <c r="F21" s="50" t="str">
        <f aca="false">IF(Master_Results!$D$21="","",IF(D21=Master_Results!$D$21,1,0))</f>
        <v/>
      </c>
      <c r="G21" s="50" t="str">
        <f aca="false">IF(F21="","",E21*F21)</f>
        <v/>
      </c>
    </row>
    <row r="22" customFormat="false" ht="15.75" hidden="false" customHeight="true" outlineLevel="0" collapsed="false">
      <c r="A22" s="47" t="s">
        <v>109</v>
      </c>
      <c r="B22" s="48" t="s">
        <v>165</v>
      </c>
      <c r="C22" s="29" t="s">
        <v>166</v>
      </c>
      <c r="D22" s="49" t="s">
        <v>268</v>
      </c>
      <c r="E22" s="28" t="n">
        <v>1</v>
      </c>
      <c r="F22" s="50" t="str">
        <f aca="false">IF(Master_Results!$D$22="","",IF(D22=Master_Results!$D$22,1,0))</f>
        <v/>
      </c>
      <c r="G22" s="50" t="str">
        <f aca="false">IF(F22="","",E22*F22)</f>
        <v/>
      </c>
    </row>
    <row r="23" customFormat="false" ht="15.75" hidden="false" customHeight="true" outlineLevel="0" collapsed="false">
      <c r="A23" s="47" t="s">
        <v>109</v>
      </c>
      <c r="B23" s="48" t="s">
        <v>167</v>
      </c>
      <c r="C23" s="29" t="s">
        <v>168</v>
      </c>
      <c r="D23" s="49" t="s">
        <v>269</v>
      </c>
      <c r="E23" s="28" t="n">
        <v>1</v>
      </c>
      <c r="F23" s="50" t="str">
        <f aca="false">IF(Master_Results!$D$23="","",IF(D23=Master_Results!$D$23,1,0))</f>
        <v/>
      </c>
      <c r="G23" s="50" t="str">
        <f aca="false">IF(F23="","",E23*F23)</f>
        <v/>
      </c>
    </row>
    <row r="24" customFormat="false" ht="15.75" hidden="false" customHeight="true" outlineLevel="0" collapsed="false">
      <c r="A24" s="47" t="s">
        <v>109</v>
      </c>
      <c r="B24" s="48" t="s">
        <v>169</v>
      </c>
      <c r="C24" s="29" t="s">
        <v>170</v>
      </c>
      <c r="D24" s="49" t="s">
        <v>270</v>
      </c>
      <c r="E24" s="28" t="n">
        <v>1</v>
      </c>
      <c r="F24" s="50" t="str">
        <f aca="false">IF(Master_Results!$D$24="","",IF(D24=Master_Results!$D$24,1,0))</f>
        <v/>
      </c>
      <c r="G24" s="50" t="str">
        <f aca="false">IF(F24="","",E24*F24)</f>
        <v/>
      </c>
    </row>
    <row r="25" customFormat="false" ht="15.75" hidden="false" customHeight="true" outlineLevel="0" collapsed="false">
      <c r="A25" s="47" t="s">
        <v>109</v>
      </c>
      <c r="B25" s="48" t="s">
        <v>171</v>
      </c>
      <c r="C25" s="29" t="s">
        <v>172</v>
      </c>
      <c r="D25" s="49" t="s">
        <v>271</v>
      </c>
      <c r="E25" s="28" t="n">
        <v>1</v>
      </c>
      <c r="F25" s="50" t="str">
        <f aca="false">IF(Master_Results!$D$25="","",IF(D25=Master_Results!$D$25,1,0))</f>
        <v/>
      </c>
      <c r="G25" s="50" t="str">
        <f aca="false">IF(F25="","",E25*F25)</f>
        <v/>
      </c>
    </row>
    <row r="26" customFormat="false" ht="15.75" hidden="false" customHeight="true" outlineLevel="0" collapsed="false">
      <c r="A26" s="47" t="s">
        <v>109</v>
      </c>
      <c r="B26" s="48" t="s">
        <v>173</v>
      </c>
      <c r="C26" s="29" t="s">
        <v>174</v>
      </c>
      <c r="D26" s="49" t="s">
        <v>272</v>
      </c>
      <c r="E26" s="28" t="n">
        <v>1</v>
      </c>
      <c r="F26" s="50" t="str">
        <f aca="false">IF(Master_Results!$D$26="","",IF(D26=Master_Results!$D$26,1,0))</f>
        <v/>
      </c>
      <c r="G26" s="50" t="str">
        <f aca="false">IF(F26="","",E26*F26)</f>
        <v/>
      </c>
    </row>
    <row r="27" customFormat="false" ht="15.75" hidden="false" customHeight="true" outlineLevel="0" collapsed="false">
      <c r="A27" s="47" t="s">
        <v>109</v>
      </c>
      <c r="B27" s="48" t="s">
        <v>175</v>
      </c>
      <c r="C27" s="29" t="s">
        <v>176</v>
      </c>
      <c r="D27" s="49" t="s">
        <v>273</v>
      </c>
      <c r="E27" s="28" t="n">
        <v>1</v>
      </c>
      <c r="F27" s="50" t="str">
        <f aca="false">IF(Master_Results!$D$27="","",IF(D27=Master_Results!$D$27,1,0))</f>
        <v/>
      </c>
      <c r="G27" s="50" t="str">
        <f aca="false">IF(F27="","",E27*F27)</f>
        <v/>
      </c>
    </row>
    <row r="28" customFormat="false" ht="15.75" hidden="false" customHeight="true" outlineLevel="0" collapsed="false">
      <c r="A28" s="47" t="s">
        <v>109</v>
      </c>
      <c r="B28" s="48" t="s">
        <v>177</v>
      </c>
      <c r="C28" s="29" t="s">
        <v>178</v>
      </c>
      <c r="D28" s="49" t="s">
        <v>274</v>
      </c>
      <c r="E28" s="28" t="n">
        <v>1</v>
      </c>
      <c r="F28" s="50" t="str">
        <f aca="false">IF(Master_Results!$D$28="","",IF(D28=Master_Results!$D$28,1,0))</f>
        <v/>
      </c>
      <c r="G28" s="50" t="str">
        <f aca="false">IF(F28="","",E28*F28)</f>
        <v/>
      </c>
    </row>
    <row r="29" customFormat="false" ht="15.75" hidden="false" customHeight="true" outlineLevel="0" collapsed="false">
      <c r="A29" s="47" t="s">
        <v>109</v>
      </c>
      <c r="B29" s="48" t="s">
        <v>179</v>
      </c>
      <c r="C29" s="29" t="s">
        <v>180</v>
      </c>
      <c r="D29" s="49" t="s">
        <v>296</v>
      </c>
      <c r="E29" s="28" t="n">
        <v>1</v>
      </c>
      <c r="F29" s="50" t="str">
        <f aca="false">IF(Master_Results!$D$29="","",IF(D29=Master_Results!$D$29,1,0))</f>
        <v/>
      </c>
      <c r="G29" s="50" t="str">
        <f aca="false">IF(F29="","",E29*F29)</f>
        <v/>
      </c>
    </row>
    <row r="30" customFormat="false" ht="15.75" hidden="false" customHeight="true" outlineLevel="0" collapsed="false">
      <c r="A30" s="47" t="s">
        <v>109</v>
      </c>
      <c r="B30" s="48" t="s">
        <v>181</v>
      </c>
      <c r="C30" s="29" t="s">
        <v>182</v>
      </c>
      <c r="D30" s="49" t="s">
        <v>276</v>
      </c>
      <c r="E30" s="28" t="n">
        <v>1</v>
      </c>
      <c r="F30" s="50" t="str">
        <f aca="false">IF(Master_Results!$D$30="","",IF(D30=Master_Results!$D$30,1,0))</f>
        <v/>
      </c>
      <c r="G30" s="50" t="str">
        <f aca="false">IF(F30="","",E30*F30)</f>
        <v/>
      </c>
    </row>
    <row r="31" customFormat="false" ht="15.75" hidden="false" customHeight="true" outlineLevel="0" collapsed="false">
      <c r="A31" s="47" t="s">
        <v>109</v>
      </c>
      <c r="B31" s="48" t="s">
        <v>183</v>
      </c>
      <c r="C31" s="29" t="s">
        <v>184</v>
      </c>
      <c r="D31" s="49" t="s">
        <v>277</v>
      </c>
      <c r="E31" s="28" t="n">
        <v>1</v>
      </c>
      <c r="F31" s="50" t="str">
        <f aca="false">IF(Master_Results!$D$31="","",IF(D31=Master_Results!$D$31,1,0))</f>
        <v/>
      </c>
      <c r="G31" s="50" t="str">
        <f aca="false">IF(F31="","",E31*F31)</f>
        <v/>
      </c>
    </row>
    <row r="32" customFormat="false" ht="15.75" hidden="false" customHeight="true" outlineLevel="0" collapsed="false">
      <c r="A32" s="47" t="s">
        <v>109</v>
      </c>
      <c r="B32" s="48" t="s">
        <v>185</v>
      </c>
      <c r="C32" s="29" t="s">
        <v>186</v>
      </c>
      <c r="D32" s="49" t="s">
        <v>278</v>
      </c>
      <c r="E32" s="28" t="n">
        <v>1</v>
      </c>
      <c r="F32" s="50" t="str">
        <f aca="false">IF(Master_Results!$D$32="","",IF(D32=Master_Results!$D$32,1,0))</f>
        <v/>
      </c>
      <c r="G32" s="50" t="str">
        <f aca="false">IF(F32="","",E32*F32)</f>
        <v/>
      </c>
    </row>
    <row r="33" customFormat="false" ht="15.75" hidden="false" customHeight="true" outlineLevel="0" collapsed="false">
      <c r="A33" s="47" t="s">
        <v>109</v>
      </c>
      <c r="B33" s="48" t="s">
        <v>187</v>
      </c>
      <c r="C33" s="29" t="s">
        <v>188</v>
      </c>
      <c r="D33" s="49" t="s">
        <v>279</v>
      </c>
      <c r="E33" s="28" t="n">
        <v>1</v>
      </c>
      <c r="F33" s="50" t="str">
        <f aca="false">IF(Master_Results!$D$33="","",IF(D33=Master_Results!$D$33,1,0))</f>
        <v/>
      </c>
      <c r="G33" s="50" t="str">
        <f aca="false">IF(F33="","",E33*F33)</f>
        <v/>
      </c>
    </row>
    <row r="34" customFormat="false" ht="15.75" hidden="false" customHeight="true" outlineLevel="0" collapsed="false">
      <c r="A34" s="47" t="s">
        <v>109</v>
      </c>
      <c r="B34" s="48" t="s">
        <v>189</v>
      </c>
      <c r="C34" s="29" t="s">
        <v>190</v>
      </c>
      <c r="D34" s="49" t="s">
        <v>280</v>
      </c>
      <c r="E34" s="28" t="n">
        <v>1</v>
      </c>
      <c r="F34" s="50" t="str">
        <f aca="false">IF(Master_Results!$D$34="","",IF(D34=Master_Results!$D$34,1,0))</f>
        <v/>
      </c>
      <c r="G34" s="50" t="str">
        <f aca="false">IF(F34="","",E34*F34)</f>
        <v/>
      </c>
    </row>
    <row r="35" customFormat="false" ht="15.75" hidden="false" customHeight="true" outlineLevel="0" collapsed="false">
      <c r="A35" s="47" t="s">
        <v>109</v>
      </c>
      <c r="B35" s="48" t="s">
        <v>191</v>
      </c>
      <c r="C35" s="29" t="s">
        <v>192</v>
      </c>
      <c r="D35" s="49" t="s">
        <v>283</v>
      </c>
      <c r="E35" s="28" t="n">
        <v>1</v>
      </c>
      <c r="F35" s="50" t="str">
        <f aca="false">IF(Master_Results!$D$35="","",IF(D35=Master_Results!$D$35,1,0))</f>
        <v/>
      </c>
      <c r="G35" s="50" t="str">
        <f aca="false">IF(F35="","",E35*F35)</f>
        <v/>
      </c>
    </row>
    <row r="36" customFormat="false" ht="19.5" hidden="false" customHeight="true" outlineLevel="0" collapsed="false">
      <c r="A36" s="31" t="s">
        <v>282</v>
      </c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>
      <c r="A37" s="51" t="s">
        <v>110</v>
      </c>
      <c r="B37" s="52" t="s">
        <v>194</v>
      </c>
      <c r="C37" s="33" t="s">
        <v>195</v>
      </c>
      <c r="D37" s="53" t="s">
        <v>252</v>
      </c>
      <c r="E37" s="32" t="n">
        <v>2</v>
      </c>
      <c r="F37" s="54" t="str">
        <f aca="false">IF(Master_Results!$D$37="","",IF(D37=Master_Results!$D$37,1,0))</f>
        <v/>
      </c>
      <c r="G37" s="54" t="str">
        <f aca="false">IF(F37="","",E37*F37)</f>
        <v/>
      </c>
    </row>
    <row r="38" customFormat="false" ht="15.75" hidden="false" customHeight="true" outlineLevel="0" collapsed="false">
      <c r="A38" s="51" t="s">
        <v>110</v>
      </c>
      <c r="B38" s="52" t="s">
        <v>196</v>
      </c>
      <c r="C38" s="33" t="s">
        <v>197</v>
      </c>
      <c r="D38" s="53" t="s">
        <v>254</v>
      </c>
      <c r="E38" s="32" t="n">
        <v>2</v>
      </c>
      <c r="F38" s="54" t="str">
        <f aca="false">IF(Master_Results!$D$38="","",IF(D38=Master_Results!$D$38,1,0))</f>
        <v/>
      </c>
      <c r="G38" s="54" t="str">
        <f aca="false">IF(F38="","",E38*F38)</f>
        <v/>
      </c>
    </row>
    <row r="39" customFormat="false" ht="15.75" hidden="false" customHeight="true" outlineLevel="0" collapsed="false">
      <c r="A39" s="51" t="s">
        <v>110</v>
      </c>
      <c r="B39" s="52" t="s">
        <v>198</v>
      </c>
      <c r="C39" s="33" t="s">
        <v>199</v>
      </c>
      <c r="D39" s="53" t="s">
        <v>256</v>
      </c>
      <c r="E39" s="32" t="n">
        <v>2</v>
      </c>
      <c r="F39" s="54" t="str">
        <f aca="false">IF(Master_Results!$D$39="","",IF(D39=Master_Results!$D$39,1,0))</f>
        <v/>
      </c>
      <c r="G39" s="54" t="str">
        <f aca="false">IF(F39="","",E39*F39)</f>
        <v/>
      </c>
    </row>
    <row r="40" customFormat="false" ht="15.75" hidden="false" customHeight="true" outlineLevel="0" collapsed="false">
      <c r="A40" s="51" t="s">
        <v>110</v>
      </c>
      <c r="B40" s="52" t="s">
        <v>200</v>
      </c>
      <c r="C40" s="33" t="s">
        <v>201</v>
      </c>
      <c r="D40" s="53" t="s">
        <v>258</v>
      </c>
      <c r="E40" s="32" t="n">
        <v>2</v>
      </c>
      <c r="F40" s="54" t="str">
        <f aca="false">IF(Master_Results!$D$40="","",IF(D40=Master_Results!$D$40,1,0))</f>
        <v/>
      </c>
      <c r="G40" s="54" t="str">
        <f aca="false">IF(F40="","",E40*F40)</f>
        <v/>
      </c>
    </row>
    <row r="41" customFormat="false" ht="15.75" hidden="false" customHeight="true" outlineLevel="0" collapsed="false">
      <c r="A41" s="51" t="s">
        <v>110</v>
      </c>
      <c r="B41" s="52" t="s">
        <v>202</v>
      </c>
      <c r="C41" s="33" t="s">
        <v>203</v>
      </c>
      <c r="D41" s="53" t="s">
        <v>259</v>
      </c>
      <c r="E41" s="32" t="n">
        <v>2</v>
      </c>
      <c r="F41" s="54" t="str">
        <f aca="false">IF(Master_Results!$D$41="","",IF(D41=Master_Results!$D$41,1,0))</f>
        <v/>
      </c>
      <c r="G41" s="54" t="str">
        <f aca="false">IF(F41="","",E41*F41)</f>
        <v/>
      </c>
    </row>
    <row r="42" customFormat="false" ht="15.75" hidden="false" customHeight="true" outlineLevel="0" collapsed="false">
      <c r="A42" s="51" t="s">
        <v>110</v>
      </c>
      <c r="B42" s="52" t="s">
        <v>204</v>
      </c>
      <c r="C42" s="33" t="s">
        <v>205</v>
      </c>
      <c r="D42" s="53" t="s">
        <v>152</v>
      </c>
      <c r="E42" s="32" t="n">
        <v>2</v>
      </c>
      <c r="F42" s="54" t="str">
        <f aca="false">IF(Master_Results!$D$42="","",IF(D42=Master_Results!$D$42,1,0))</f>
        <v/>
      </c>
      <c r="G42" s="54" t="str">
        <f aca="false">IF(F42="","",E42*F42)</f>
        <v/>
      </c>
    </row>
    <row r="43" customFormat="false" ht="15.75" hidden="false" customHeight="true" outlineLevel="0" collapsed="false">
      <c r="A43" s="51" t="s">
        <v>110</v>
      </c>
      <c r="B43" s="52" t="s">
        <v>206</v>
      </c>
      <c r="C43" s="33" t="s">
        <v>207</v>
      </c>
      <c r="D43" s="53" t="s">
        <v>263</v>
      </c>
      <c r="E43" s="32" t="n">
        <v>2</v>
      </c>
      <c r="F43" s="54" t="str">
        <f aca="false">IF(Master_Results!$D$43="","",IF(D43=Master_Results!$D$43,1,0))</f>
        <v/>
      </c>
      <c r="G43" s="54" t="str">
        <f aca="false">IF(F43="","",E43*F43)</f>
        <v/>
      </c>
    </row>
    <row r="44" customFormat="false" ht="15.75" hidden="false" customHeight="true" outlineLevel="0" collapsed="false">
      <c r="A44" s="51" t="s">
        <v>110</v>
      </c>
      <c r="B44" s="52" t="s">
        <v>208</v>
      </c>
      <c r="C44" s="33" t="s">
        <v>209</v>
      </c>
      <c r="D44" s="53" t="s">
        <v>265</v>
      </c>
      <c r="E44" s="32" t="n">
        <v>2</v>
      </c>
      <c r="F44" s="54" t="str">
        <f aca="false">IF(Master_Results!$D$44="","",IF(D44=Master_Results!$D$44,1,0))</f>
        <v/>
      </c>
      <c r="G44" s="54" t="str">
        <f aca="false">IF(F44="","",E44*F44)</f>
        <v/>
      </c>
    </row>
    <row r="45" customFormat="false" ht="15.75" hidden="false" customHeight="true" outlineLevel="0" collapsed="false">
      <c r="A45" s="51" t="s">
        <v>110</v>
      </c>
      <c r="B45" s="52" t="s">
        <v>210</v>
      </c>
      <c r="C45" s="33" t="s">
        <v>211</v>
      </c>
      <c r="D45" s="53" t="s">
        <v>266</v>
      </c>
      <c r="E45" s="32" t="n">
        <v>2</v>
      </c>
      <c r="F45" s="54" t="str">
        <f aca="false">IF(Master_Results!$D$45="","",IF(D45=Master_Results!$D$45,1,0))</f>
        <v/>
      </c>
      <c r="G45" s="54" t="str">
        <f aca="false">IF(F45="","",E45*F45)</f>
        <v/>
      </c>
    </row>
    <row r="46" customFormat="false" ht="15.75" hidden="false" customHeight="true" outlineLevel="0" collapsed="false">
      <c r="A46" s="51" t="s">
        <v>110</v>
      </c>
      <c r="B46" s="52" t="s">
        <v>212</v>
      </c>
      <c r="C46" s="33" t="s">
        <v>213</v>
      </c>
      <c r="D46" s="53" t="s">
        <v>268</v>
      </c>
      <c r="E46" s="32" t="n">
        <v>2</v>
      </c>
      <c r="F46" s="54" t="str">
        <f aca="false">IF(Master_Results!$D$46="","",IF(D46=Master_Results!$D$46,1,0))</f>
        <v/>
      </c>
      <c r="G46" s="54" t="str">
        <f aca="false">IF(F46="","",E46*F46)</f>
        <v/>
      </c>
    </row>
    <row r="47" customFormat="false" ht="15.75" hidden="false" customHeight="true" outlineLevel="0" collapsed="false">
      <c r="A47" s="51" t="s">
        <v>110</v>
      </c>
      <c r="B47" s="52" t="s">
        <v>214</v>
      </c>
      <c r="C47" s="33" t="s">
        <v>215</v>
      </c>
      <c r="D47" s="53" t="s">
        <v>270</v>
      </c>
      <c r="E47" s="32" t="n">
        <v>2</v>
      </c>
      <c r="F47" s="54" t="str">
        <f aca="false">IF(Master_Results!$D$47="","",IF(D47=Master_Results!$D$47,1,0))</f>
        <v/>
      </c>
      <c r="G47" s="54" t="str">
        <f aca="false">IF(F47="","",E47*F47)</f>
        <v/>
      </c>
    </row>
    <row r="48" customFormat="false" ht="15.75" hidden="false" customHeight="true" outlineLevel="0" collapsed="false">
      <c r="A48" s="51" t="s">
        <v>110</v>
      </c>
      <c r="B48" s="52" t="s">
        <v>216</v>
      </c>
      <c r="C48" s="33" t="s">
        <v>217</v>
      </c>
      <c r="D48" s="53" t="s">
        <v>273</v>
      </c>
      <c r="E48" s="32" t="n">
        <v>2</v>
      </c>
      <c r="F48" s="54" t="str">
        <f aca="false">IF(Master_Results!$D$48="","",IF(D48=Master_Results!$D$48,1,0))</f>
        <v/>
      </c>
      <c r="G48" s="54" t="str">
        <f aca="false">IF(F48="","",E48*F48)</f>
        <v/>
      </c>
    </row>
    <row r="49" customFormat="false" ht="15.75" hidden="false" customHeight="true" outlineLevel="0" collapsed="false">
      <c r="A49" s="51" t="s">
        <v>110</v>
      </c>
      <c r="B49" s="52" t="s">
        <v>218</v>
      </c>
      <c r="C49" s="33" t="s">
        <v>219</v>
      </c>
      <c r="D49" s="53" t="s">
        <v>274</v>
      </c>
      <c r="E49" s="32" t="n">
        <v>2</v>
      </c>
      <c r="F49" s="54" t="str">
        <f aca="false">IF(Master_Results!$D$49="","",IF(D49=Master_Results!$D$49,1,0))</f>
        <v/>
      </c>
      <c r="G49" s="54" t="str">
        <f aca="false">IF(F49="","",E49*F49)</f>
        <v/>
      </c>
    </row>
    <row r="50" customFormat="false" ht="15.75" hidden="false" customHeight="true" outlineLevel="0" collapsed="false">
      <c r="A50" s="51" t="s">
        <v>110</v>
      </c>
      <c r="B50" s="52" t="s">
        <v>220</v>
      </c>
      <c r="C50" s="33" t="s">
        <v>221</v>
      </c>
      <c r="D50" s="53" t="s">
        <v>277</v>
      </c>
      <c r="E50" s="32" t="n">
        <v>2</v>
      </c>
      <c r="F50" s="54" t="str">
        <f aca="false">IF(Master_Results!$D$50="","",IF(D50=Master_Results!$D$50,1,0))</f>
        <v/>
      </c>
      <c r="G50" s="54" t="str">
        <f aca="false">IF(F50="","",E50*F50)</f>
        <v/>
      </c>
    </row>
    <row r="51" customFormat="false" ht="15.75" hidden="false" customHeight="true" outlineLevel="0" collapsed="false">
      <c r="A51" s="51" t="s">
        <v>110</v>
      </c>
      <c r="B51" s="52" t="s">
        <v>222</v>
      </c>
      <c r="C51" s="33" t="s">
        <v>223</v>
      </c>
      <c r="D51" s="53" t="s">
        <v>279</v>
      </c>
      <c r="E51" s="32" t="n">
        <v>2</v>
      </c>
      <c r="F51" s="54" t="str">
        <f aca="false">IF(Master_Results!$D$51="","",IF(D51=Master_Results!$D$51,1,0))</f>
        <v/>
      </c>
      <c r="G51" s="54" t="str">
        <f aca="false">IF(F51="","",E51*F51)</f>
        <v/>
      </c>
    </row>
    <row r="52" customFormat="false" ht="15.75" hidden="false" customHeight="true" outlineLevel="0" collapsed="false">
      <c r="A52" s="51" t="s">
        <v>110</v>
      </c>
      <c r="B52" s="52" t="s">
        <v>224</v>
      </c>
      <c r="C52" s="33" t="s">
        <v>225</v>
      </c>
      <c r="D52" s="53" t="s">
        <v>283</v>
      </c>
      <c r="E52" s="32" t="n">
        <v>2</v>
      </c>
      <c r="F52" s="54" t="str">
        <f aca="false">IF(Master_Results!$D$52="","",IF(D52=Master_Results!$D$52,1,0))</f>
        <v/>
      </c>
      <c r="G52" s="54" t="str">
        <f aca="false">IF(F52="","",E52*F52)</f>
        <v/>
      </c>
    </row>
    <row r="53" customFormat="false" ht="19.5" hidden="false" customHeight="true" outlineLevel="0" collapsed="false">
      <c r="A53" s="34" t="s">
        <v>284</v>
      </c>
      <c r="B53" s="34"/>
      <c r="C53" s="34"/>
      <c r="D53" s="34"/>
      <c r="E53" s="34"/>
      <c r="F53" s="34"/>
      <c r="G53" s="34"/>
      <c r="H53" s="34"/>
    </row>
    <row r="54" customFormat="false" ht="15.75" hidden="false" customHeight="true" outlineLevel="0" collapsed="false">
      <c r="A54" s="55" t="s">
        <v>111</v>
      </c>
      <c r="B54" s="56" t="s">
        <v>227</v>
      </c>
      <c r="C54" s="36" t="s">
        <v>195</v>
      </c>
      <c r="D54" s="57" t="s">
        <v>252</v>
      </c>
      <c r="E54" s="35" t="n">
        <v>4</v>
      </c>
      <c r="F54" s="58" t="str">
        <f aca="false">IF(Master_Results!$D$54="","",IF(D54=Master_Results!$D$54,1,0))</f>
        <v/>
      </c>
      <c r="G54" s="58" t="str">
        <f aca="false">IF(F54="","",E54*F54)</f>
        <v/>
      </c>
    </row>
    <row r="55" customFormat="false" ht="15.75" hidden="false" customHeight="true" outlineLevel="0" collapsed="false">
      <c r="A55" s="55" t="s">
        <v>111</v>
      </c>
      <c r="B55" s="56" t="s">
        <v>228</v>
      </c>
      <c r="C55" s="36" t="s">
        <v>197</v>
      </c>
      <c r="D55" s="57" t="s">
        <v>258</v>
      </c>
      <c r="E55" s="35" t="n">
        <v>4</v>
      </c>
      <c r="F55" s="58" t="str">
        <f aca="false">IF(Master_Results!$D$55="","",IF(D55=Master_Results!$D$55,1,0))</f>
        <v/>
      </c>
      <c r="G55" s="58" t="str">
        <f aca="false">IF(F55="","",E55*F55)</f>
        <v/>
      </c>
    </row>
    <row r="56" customFormat="false" ht="15.75" hidden="false" customHeight="true" outlineLevel="0" collapsed="false">
      <c r="A56" s="55" t="s">
        <v>111</v>
      </c>
      <c r="B56" s="56" t="s">
        <v>229</v>
      </c>
      <c r="C56" s="36" t="s">
        <v>199</v>
      </c>
      <c r="D56" s="57" t="s">
        <v>259</v>
      </c>
      <c r="E56" s="35" t="n">
        <v>4</v>
      </c>
      <c r="F56" s="58" t="str">
        <f aca="false">IF(Master_Results!$D$56="","",IF(D56=Master_Results!$D$56,1,0))</f>
        <v/>
      </c>
      <c r="G56" s="58" t="str">
        <f aca="false">IF(F56="","",E56*F56)</f>
        <v/>
      </c>
    </row>
    <row r="57" customFormat="false" ht="15.75" hidden="false" customHeight="true" outlineLevel="0" collapsed="false">
      <c r="A57" s="55" t="s">
        <v>111</v>
      </c>
      <c r="B57" s="56" t="s">
        <v>230</v>
      </c>
      <c r="C57" s="36" t="s">
        <v>201</v>
      </c>
      <c r="D57" s="57" t="s">
        <v>263</v>
      </c>
      <c r="E57" s="35" t="n">
        <v>4</v>
      </c>
      <c r="F57" s="58" t="str">
        <f aca="false">IF(Master_Results!$D$57="","",IF(D57=Master_Results!$D$57,1,0))</f>
        <v/>
      </c>
      <c r="G57" s="58" t="str">
        <f aca="false">IF(F57="","",E57*F57)</f>
        <v/>
      </c>
    </row>
    <row r="58" customFormat="false" ht="15.75" hidden="false" customHeight="true" outlineLevel="0" collapsed="false">
      <c r="A58" s="55" t="s">
        <v>111</v>
      </c>
      <c r="B58" s="56" t="s">
        <v>231</v>
      </c>
      <c r="C58" s="36" t="s">
        <v>203</v>
      </c>
      <c r="D58" s="57" t="s">
        <v>266</v>
      </c>
      <c r="E58" s="35" t="n">
        <v>4</v>
      </c>
      <c r="F58" s="58" t="str">
        <f aca="false">IF(Master_Results!$D$58="","",IF(D58=Master_Results!$D$58,1,0))</f>
        <v/>
      </c>
      <c r="G58" s="58" t="str">
        <f aca="false">IF(F58="","",E58*F58)</f>
        <v/>
      </c>
    </row>
    <row r="59" customFormat="false" ht="15.75" hidden="false" customHeight="true" outlineLevel="0" collapsed="false">
      <c r="A59" s="55" t="s">
        <v>111</v>
      </c>
      <c r="B59" s="56" t="s">
        <v>232</v>
      </c>
      <c r="C59" s="36" t="s">
        <v>205</v>
      </c>
      <c r="D59" s="57" t="s">
        <v>273</v>
      </c>
      <c r="E59" s="35" t="n">
        <v>4</v>
      </c>
      <c r="F59" s="58" t="str">
        <f aca="false">IF(Master_Results!$D$59="","",IF(D59=Master_Results!$D$59,1,0))</f>
        <v/>
      </c>
      <c r="G59" s="58" t="str">
        <f aca="false">IF(F59="","",E59*F59)</f>
        <v/>
      </c>
    </row>
    <row r="60" customFormat="false" ht="15.75" hidden="false" customHeight="true" outlineLevel="0" collapsed="false">
      <c r="A60" s="55" t="s">
        <v>111</v>
      </c>
      <c r="B60" s="56" t="s">
        <v>233</v>
      </c>
      <c r="C60" s="36" t="s">
        <v>207</v>
      </c>
      <c r="D60" s="57" t="s">
        <v>274</v>
      </c>
      <c r="E60" s="35" t="n">
        <v>4</v>
      </c>
      <c r="F60" s="58" t="str">
        <f aca="false">IF(Master_Results!$D$60="","",IF(D60=Master_Results!$D$60,1,0))</f>
        <v/>
      </c>
      <c r="G60" s="58" t="str">
        <f aca="false">IF(F60="","",E60*F60)</f>
        <v/>
      </c>
    </row>
    <row r="61" customFormat="false" ht="15.75" hidden="false" customHeight="true" outlineLevel="0" collapsed="false">
      <c r="A61" s="55" t="s">
        <v>111</v>
      </c>
      <c r="B61" s="56" t="s">
        <v>234</v>
      </c>
      <c r="C61" s="36" t="s">
        <v>209</v>
      </c>
      <c r="D61" s="57" t="s">
        <v>279</v>
      </c>
      <c r="E61" s="35" t="n">
        <v>4</v>
      </c>
      <c r="F61" s="58" t="str">
        <f aca="false">IF(Master_Results!$D$61="","",IF(D61=Master_Results!$D$61,1,0))</f>
        <v/>
      </c>
      <c r="G61" s="58" t="str">
        <f aca="false">IF(F61="","",E61*F61)</f>
        <v/>
      </c>
    </row>
    <row r="62" customFormat="false" ht="19.5" hidden="false" customHeight="true" outlineLevel="0" collapsed="false">
      <c r="A62" s="37" t="s">
        <v>285</v>
      </c>
      <c r="B62" s="37"/>
      <c r="C62" s="37"/>
      <c r="D62" s="37"/>
      <c r="E62" s="37"/>
      <c r="F62" s="37"/>
      <c r="G62" s="37"/>
      <c r="H62" s="37"/>
    </row>
    <row r="63" customFormat="false" ht="15.75" hidden="false" customHeight="true" outlineLevel="0" collapsed="false">
      <c r="A63" s="59" t="s">
        <v>112</v>
      </c>
      <c r="B63" s="60" t="s">
        <v>236</v>
      </c>
      <c r="C63" s="39" t="s">
        <v>195</v>
      </c>
      <c r="D63" s="61" t="s">
        <v>252</v>
      </c>
      <c r="E63" s="38" t="n">
        <v>8</v>
      </c>
      <c r="F63" s="62" t="str">
        <f aca="false">IF(Master_Results!$D$63="","",IF(D63=Master_Results!$D$63,1,0))</f>
        <v/>
      </c>
      <c r="G63" s="62" t="str">
        <f aca="false">IF(F63="","",E63*F63)</f>
        <v/>
      </c>
    </row>
    <row r="64" customFormat="false" ht="15.75" hidden="false" customHeight="true" outlineLevel="0" collapsed="false">
      <c r="A64" s="59" t="s">
        <v>112</v>
      </c>
      <c r="B64" s="60" t="s">
        <v>237</v>
      </c>
      <c r="C64" s="39" t="s">
        <v>197</v>
      </c>
      <c r="D64" s="61" t="s">
        <v>263</v>
      </c>
      <c r="E64" s="38" t="n">
        <v>8</v>
      </c>
      <c r="F64" s="62" t="str">
        <f aca="false">IF(Master_Results!$D$64="","",IF(D64=Master_Results!$D$64,1,0))</f>
        <v/>
      </c>
      <c r="G64" s="62" t="str">
        <f aca="false">IF(F64="","",E64*F64)</f>
        <v/>
      </c>
    </row>
    <row r="65" customFormat="false" ht="15.75" hidden="false" customHeight="true" outlineLevel="0" collapsed="false">
      <c r="A65" s="59" t="s">
        <v>112</v>
      </c>
      <c r="B65" s="60" t="s">
        <v>238</v>
      </c>
      <c r="C65" s="39" t="s">
        <v>199</v>
      </c>
      <c r="D65" s="61" t="s">
        <v>273</v>
      </c>
      <c r="E65" s="38" t="n">
        <v>8</v>
      </c>
      <c r="F65" s="62" t="str">
        <f aca="false">IF(Master_Results!$D$65="","",IF(D65=Master_Results!$D$65,1,0))</f>
        <v/>
      </c>
      <c r="G65" s="62" t="str">
        <f aca="false">IF(F65="","",E65*F65)</f>
        <v/>
      </c>
    </row>
    <row r="66" customFormat="false" ht="15.75" hidden="false" customHeight="true" outlineLevel="0" collapsed="false">
      <c r="A66" s="59" t="s">
        <v>112</v>
      </c>
      <c r="B66" s="60" t="s">
        <v>239</v>
      </c>
      <c r="C66" s="39" t="s">
        <v>201</v>
      </c>
      <c r="D66" s="61" t="s">
        <v>274</v>
      </c>
      <c r="E66" s="38" t="n">
        <v>8</v>
      </c>
      <c r="F66" s="62" t="str">
        <f aca="false">IF(Master_Results!$D$66="","",IF(D66=Master_Results!$D$66,1,0))</f>
        <v/>
      </c>
      <c r="G66" s="62" t="str">
        <f aca="false">IF(F66="","",E66*F66)</f>
        <v/>
      </c>
    </row>
    <row r="67" customFormat="false" ht="19.5" hidden="false" customHeight="true" outlineLevel="0" collapsed="false">
      <c r="A67" s="40" t="s">
        <v>286</v>
      </c>
      <c r="B67" s="40"/>
      <c r="C67" s="40"/>
      <c r="D67" s="40"/>
      <c r="E67" s="40"/>
      <c r="F67" s="40"/>
      <c r="G67" s="40"/>
      <c r="H67" s="40"/>
    </row>
    <row r="68" customFormat="false" ht="15.75" hidden="false" customHeight="true" outlineLevel="0" collapsed="false">
      <c r="A68" s="63" t="s">
        <v>241</v>
      </c>
      <c r="B68" s="64" t="s">
        <v>242</v>
      </c>
      <c r="C68" s="42" t="s">
        <v>195</v>
      </c>
      <c r="D68" s="65" t="s">
        <v>252</v>
      </c>
      <c r="E68" s="41" t="n">
        <v>16</v>
      </c>
      <c r="F68" s="66" t="str">
        <f aca="false">IF(Master_Results!$D$68="","",IF(D68=Master_Results!$D$68,1,0))</f>
        <v/>
      </c>
      <c r="G68" s="66" t="str">
        <f aca="false">IF(F68="","",E68*F68)</f>
        <v/>
      </c>
    </row>
    <row r="69" customFormat="false" ht="15.75" hidden="false" customHeight="true" outlineLevel="0" collapsed="false">
      <c r="A69" s="63" t="s">
        <v>241</v>
      </c>
      <c r="B69" s="64" t="s">
        <v>243</v>
      </c>
      <c r="C69" s="42" t="s">
        <v>197</v>
      </c>
      <c r="D69" s="65" t="s">
        <v>274</v>
      </c>
      <c r="E69" s="41" t="n">
        <v>16</v>
      </c>
      <c r="F69" s="66" t="str">
        <f aca="false">IF(Master_Results!$D$69="","",IF(D69=Master_Results!$D$69,1,0))</f>
        <v/>
      </c>
      <c r="G69" s="66" t="str">
        <f aca="false">IF(F69="","",E69*F69)</f>
        <v/>
      </c>
    </row>
    <row r="70" customFormat="false" ht="19.5" hidden="false" customHeight="true" outlineLevel="0" collapsed="false">
      <c r="A70" s="43" t="s">
        <v>287</v>
      </c>
      <c r="B70" s="43"/>
      <c r="C70" s="43"/>
      <c r="D70" s="43"/>
      <c r="E70" s="43"/>
      <c r="F70" s="43"/>
      <c r="G70" s="43"/>
      <c r="H70" s="43"/>
    </row>
    <row r="71" customFormat="false" ht="15.75" hidden="false" customHeight="true" outlineLevel="0" collapsed="false">
      <c r="A71" s="67" t="s">
        <v>114</v>
      </c>
      <c r="B71" s="68" t="s">
        <v>245</v>
      </c>
      <c r="C71" s="45" t="s">
        <v>195</v>
      </c>
      <c r="D71" s="69" t="s">
        <v>252</v>
      </c>
      <c r="E71" s="44" t="n">
        <v>32</v>
      </c>
      <c r="F71" s="70" t="str">
        <f aca="false">IF(Master_Results!$D$71="","",IF(D71=Master_Results!$D$71,1,0))</f>
        <v/>
      </c>
      <c r="G71" s="70" t="str">
        <f aca="false">IF(F71="","",E71*F71)</f>
        <v/>
      </c>
    </row>
    <row r="73" customFormat="false" ht="25.5" hidden="false" customHeight="true" outlineLevel="0" collapsed="false">
      <c r="A73" s="71" t="s">
        <v>288</v>
      </c>
      <c r="B73" s="71"/>
      <c r="C73" s="71"/>
      <c r="D73" s="71"/>
      <c r="E73" s="71"/>
      <c r="F73" s="72" t="s">
        <v>289</v>
      </c>
      <c r="G73" s="73" t="n">
        <f aca="false">SUMIF(F3:F71,1,E3:E71)</f>
        <v>2</v>
      </c>
      <c r="H73" s="74" t="n">
        <f aca="false">SUMIF(F3:F71,"",E3:E71)</f>
        <v>190</v>
      </c>
    </row>
  </sheetData>
  <mergeCells count="8">
    <mergeCell ref="A1:H1"/>
    <mergeCell ref="A3:H3"/>
    <mergeCell ref="A36:H36"/>
    <mergeCell ref="A53:H53"/>
    <mergeCell ref="A62:H62"/>
    <mergeCell ref="A67:H67"/>
    <mergeCell ref="A70:H70"/>
    <mergeCell ref="A73:E73"/>
  </mergeCells>
  <conditionalFormatting sqref="A3:G71">
    <cfRule type="expression" priority="2" aboveAverage="0" equalAverage="0" bottom="0" percent="0" rank="0" text="" dxfId="3">
      <formula>$F3=1</formula>
    </cfRule>
    <cfRule type="expression" priority="3" aboveAverage="0" equalAverage="0" bottom="0" percent="0" rank="0" text="" dxfId="4">
      <formula>$F3=0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38"/>
    <col collapsed="false" customWidth="true" hidden="false" outlineLevel="0" max="3" min="3" style="9" width="20"/>
    <col collapsed="false" customWidth="true" hidden="false" outlineLevel="0" max="9" min="4" style="9" width="15"/>
  </cols>
  <sheetData>
    <row r="1" customFormat="false" ht="30" hidden="false" customHeight="true" outlineLevel="0" collapsed="false">
      <c r="A1" s="75" t="s">
        <v>309</v>
      </c>
      <c r="B1" s="75"/>
      <c r="C1" s="75"/>
      <c r="D1" s="75"/>
      <c r="E1" s="75"/>
      <c r="F1" s="75"/>
      <c r="G1" s="75"/>
      <c r="H1" s="75"/>
      <c r="I1" s="75"/>
      <c r="J1" s="75"/>
    </row>
    <row r="2" customFormat="false" ht="21.75" hidden="false" customHeight="true" outlineLevel="0" collapsed="false">
      <c r="A2" s="76" t="s">
        <v>122</v>
      </c>
      <c r="B2" s="76" t="s">
        <v>124</v>
      </c>
      <c r="C2" s="76" t="s">
        <v>125</v>
      </c>
      <c r="D2" s="77" t="s">
        <v>102</v>
      </c>
      <c r="E2" s="78" t="s">
        <v>103</v>
      </c>
      <c r="F2" s="79" t="s">
        <v>104</v>
      </c>
      <c r="G2" s="80" t="s">
        <v>105</v>
      </c>
      <c r="H2" s="81" t="s">
        <v>106</v>
      </c>
      <c r="I2" s="82" t="s">
        <v>107</v>
      </c>
    </row>
    <row r="3" customFormat="false" ht="18.75" hidden="false" customHeight="true" outlineLevel="0" collapsed="false">
      <c r="A3" s="27" t="s">
        <v>126</v>
      </c>
      <c r="B3" s="27"/>
      <c r="C3" s="27"/>
      <c r="D3" s="27"/>
      <c r="E3" s="27"/>
      <c r="F3" s="27"/>
      <c r="G3" s="27"/>
      <c r="H3" s="27"/>
      <c r="I3" s="27"/>
    </row>
    <row r="4" customFormat="false" ht="15.75" hidden="false" customHeight="true" outlineLevel="0" collapsed="false">
      <c r="A4" s="47" t="s">
        <v>109</v>
      </c>
      <c r="B4" s="29" t="s">
        <v>128</v>
      </c>
      <c r="C4" s="83" t="str">
        <f aca="false">Master_Results!D2</f>
        <v>Actual Winner</v>
      </c>
      <c r="D4" s="50" t="str">
        <f aca="false">Raman!D4</f>
        <v>Duke</v>
      </c>
      <c r="E4" s="50" t="str">
        <f aca="false">Porter!D4</f>
        <v>Duke</v>
      </c>
      <c r="F4" s="50" t="str">
        <f aca="false">Chuck!D4</f>
        <v>Duke</v>
      </c>
      <c r="G4" s="50" t="str">
        <f aca="false">Shelly!D4</f>
        <v>Duke</v>
      </c>
      <c r="H4" s="50" t="str">
        <f aca="false">Kim!D4</f>
        <v>Duke</v>
      </c>
      <c r="I4" s="50" t="str">
        <f aca="false">Tucker!D4</f>
        <v>Duke</v>
      </c>
    </row>
    <row r="5" customFormat="false" ht="15.75" hidden="false" customHeight="true" outlineLevel="0" collapsed="false">
      <c r="A5" s="47" t="s">
        <v>109</v>
      </c>
      <c r="B5" s="29" t="s">
        <v>130</v>
      </c>
      <c r="C5" s="83" t="n">
        <f aca="false">Master_Results!D3</f>
        <v>0</v>
      </c>
      <c r="D5" s="50" t="str">
        <f aca="false">Raman!D5</f>
        <v>TCU</v>
      </c>
      <c r="E5" s="50" t="str">
        <f aca="false">Porter!D5</f>
        <v>Ohio State</v>
      </c>
      <c r="F5" s="50" t="str">
        <f aca="false">Chuck!D5</f>
        <v>Ohio State</v>
      </c>
      <c r="G5" s="50" t="str">
        <f aca="false">Shelly!D5</f>
        <v>TCU</v>
      </c>
      <c r="H5" s="50" t="str">
        <f aca="false">Kim!D5</f>
        <v>TCU</v>
      </c>
      <c r="I5" s="50" t="str">
        <f aca="false">Tucker!D5</f>
        <v>TCU</v>
      </c>
    </row>
    <row r="6" customFormat="false" ht="15.75" hidden="false" customHeight="true" outlineLevel="0" collapsed="false">
      <c r="A6" s="47" t="s">
        <v>109</v>
      </c>
      <c r="B6" s="29" t="s">
        <v>133</v>
      </c>
      <c r="C6" s="83" t="n">
        <f aca="false">Master_Results!D4</f>
        <v>0</v>
      </c>
      <c r="D6" s="50" t="str">
        <f aca="false">Raman!D6</f>
        <v>St. John</v>
      </c>
      <c r="E6" s="50" t="str">
        <f aca="false">Porter!D6</f>
        <v>Northern Iowa</v>
      </c>
      <c r="F6" s="50" t="str">
        <f aca="false">Chuck!D6</f>
        <v>St. John</v>
      </c>
      <c r="G6" s="50" t="str">
        <f aca="false">Shelly!D6</f>
        <v>St. John</v>
      </c>
      <c r="H6" s="50" t="str">
        <f aca="false">Kim!D6</f>
        <v>St. John</v>
      </c>
      <c r="I6" s="50" t="str">
        <f aca="false">Tucker!D6</f>
        <v>St. John's</v>
      </c>
    </row>
    <row r="7" customFormat="false" ht="15.75" hidden="false" customHeight="true" outlineLevel="0" collapsed="false">
      <c r="A7" s="47" t="s">
        <v>109</v>
      </c>
      <c r="B7" s="29" t="s">
        <v>135</v>
      </c>
      <c r="C7" s="83" t="str">
        <f aca="false">Master_Results!D5</f>
        <v>TCU</v>
      </c>
      <c r="D7" s="50" t="str">
        <f aca="false">Raman!D7</f>
        <v>Kansas</v>
      </c>
      <c r="E7" s="50" t="str">
        <f aca="false">Porter!D7</f>
        <v>Kansas</v>
      </c>
      <c r="F7" s="50" t="str">
        <f aca="false">Chuck!D7</f>
        <v>Kansas</v>
      </c>
      <c r="G7" s="50" t="str">
        <f aca="false">Shelly!D7</f>
        <v>Kansas</v>
      </c>
      <c r="H7" s="50" t="str">
        <f aca="false">Kim!D7</f>
        <v>Kansas</v>
      </c>
      <c r="I7" s="50" t="str">
        <f aca="false">Tucker!D7</f>
        <v>Kansas</v>
      </c>
    </row>
    <row r="8" customFormat="false" ht="15.75" hidden="false" customHeight="true" outlineLevel="0" collapsed="false">
      <c r="A8" s="47" t="s">
        <v>109</v>
      </c>
      <c r="B8" s="29" t="s">
        <v>137</v>
      </c>
      <c r="C8" s="83" t="n">
        <f aca="false">Master_Results!D6</f>
        <v>0</v>
      </c>
      <c r="D8" s="50" t="str">
        <f aca="false">Raman!D8</f>
        <v>Louisville</v>
      </c>
      <c r="E8" s="50" t="str">
        <f aca="false">Porter!D8</f>
        <v>South Florida</v>
      </c>
      <c r="F8" s="50" t="str">
        <f aca="false">Chuck!D8</f>
        <v>Louisville</v>
      </c>
      <c r="G8" s="50" t="str">
        <f aca="false">Shelly!D8</f>
        <v>Louisville</v>
      </c>
      <c r="H8" s="50" t="str">
        <f aca="false">Kim!D8</f>
        <v>Louisville</v>
      </c>
      <c r="I8" s="50" t="str">
        <f aca="false">Tucker!D8</f>
        <v>South Florida</v>
      </c>
    </row>
    <row r="9" customFormat="false" ht="15.75" hidden="false" customHeight="true" outlineLevel="0" collapsed="false">
      <c r="A9" s="47" t="s">
        <v>109</v>
      </c>
      <c r="B9" s="29" t="s">
        <v>139</v>
      </c>
      <c r="C9" s="83" t="n">
        <f aca="false">Master_Results!D7</f>
        <v>0</v>
      </c>
      <c r="D9" s="50" t="str">
        <f aca="false">Raman!D9</f>
        <v>Mich St</v>
      </c>
      <c r="E9" s="50" t="str">
        <f aca="false">Porter!D9</f>
        <v>Mich St</v>
      </c>
      <c r="F9" s="50" t="str">
        <f aca="false">Chuck!D9</f>
        <v>Mich St</v>
      </c>
      <c r="G9" s="50" t="str">
        <f aca="false">Shelly!D9</f>
        <v>Michigan St</v>
      </c>
      <c r="H9" s="50" t="str">
        <f aca="false">Kim!D9</f>
        <v>Mich St</v>
      </c>
      <c r="I9" s="50" t="str">
        <f aca="false">Tucker!D9</f>
        <v>Mich St</v>
      </c>
    </row>
    <row r="10" customFormat="false" ht="15.75" hidden="false" customHeight="true" outlineLevel="0" collapsed="false">
      <c r="A10" s="47" t="s">
        <v>109</v>
      </c>
      <c r="B10" s="29" t="s">
        <v>141</v>
      </c>
      <c r="C10" s="83" t="n">
        <f aca="false">Master_Results!D8</f>
        <v>0</v>
      </c>
      <c r="D10" s="50" t="str">
        <f aca="false">Raman!D10</f>
        <v>UCLA</v>
      </c>
      <c r="E10" s="50" t="str">
        <f aca="false">Porter!D10</f>
        <v>UCLA</v>
      </c>
      <c r="F10" s="50" t="str">
        <f aca="false">Chuck!D10</f>
        <v>UCF</v>
      </c>
      <c r="G10" s="50" t="str">
        <f aca="false">Shelly!D10</f>
        <v>UCLA</v>
      </c>
      <c r="H10" s="50" t="str">
        <f aca="false">Kim!D10</f>
        <v>UCF</v>
      </c>
      <c r="I10" s="50" t="str">
        <f aca="false">Tucker!D10</f>
        <v>UCF</v>
      </c>
    </row>
    <row r="11" customFormat="false" ht="15.75" hidden="false" customHeight="true" outlineLevel="0" collapsed="false">
      <c r="A11" s="47" t="s">
        <v>109</v>
      </c>
      <c r="B11" s="29" t="s">
        <v>143</v>
      </c>
      <c r="C11" s="83" t="n">
        <f aca="false">Master_Results!D9</f>
        <v>0</v>
      </c>
      <c r="D11" s="50" t="str">
        <f aca="false">Raman!D11</f>
        <v>UConn</v>
      </c>
      <c r="E11" s="50" t="str">
        <f aca="false">Porter!D11</f>
        <v>UConn</v>
      </c>
      <c r="F11" s="50" t="str">
        <f aca="false">Chuck!D11</f>
        <v>UConn</v>
      </c>
      <c r="G11" s="50" t="str">
        <f aca="false">Shelly!D11</f>
        <v>UConn</v>
      </c>
      <c r="H11" s="50" t="str">
        <f aca="false">Kim!D11</f>
        <v>UConn</v>
      </c>
      <c r="I11" s="50" t="str">
        <f aca="false">Tucker!D11</f>
        <v>UConn</v>
      </c>
    </row>
    <row r="12" customFormat="false" ht="15.75" hidden="false" customHeight="true" outlineLevel="0" collapsed="false">
      <c r="A12" s="47" t="s">
        <v>109</v>
      </c>
      <c r="B12" s="29" t="s">
        <v>145</v>
      </c>
      <c r="C12" s="83" t="n">
        <f aca="false">Master_Results!D10</f>
        <v>0</v>
      </c>
      <c r="D12" s="50" t="str">
        <f aca="false">Raman!D12</f>
        <v>Florida</v>
      </c>
      <c r="E12" s="50" t="str">
        <f aca="false">Porter!D12</f>
        <v>Florida</v>
      </c>
      <c r="F12" s="50" t="str">
        <f aca="false">Chuck!D12</f>
        <v>Florida</v>
      </c>
      <c r="G12" s="50" t="str">
        <f aca="false">Shelly!D12</f>
        <v>Florida</v>
      </c>
      <c r="H12" s="50" t="str">
        <f aca="false">Kim!D12</f>
        <v>Florida</v>
      </c>
      <c r="I12" s="50" t="str">
        <f aca="false">Tucker!D12</f>
        <v>Florida</v>
      </c>
    </row>
    <row r="13" customFormat="false" ht="15.75" hidden="false" customHeight="true" outlineLevel="0" collapsed="false">
      <c r="A13" s="47" t="s">
        <v>109</v>
      </c>
      <c r="B13" s="29" t="s">
        <v>147</v>
      </c>
      <c r="C13" s="83" t="n">
        <f aca="false">Master_Results!D11</f>
        <v>0</v>
      </c>
      <c r="D13" s="50" t="str">
        <f aca="false">Raman!D13</f>
        <v>Clemson</v>
      </c>
      <c r="E13" s="50" t="str">
        <f aca="false">Porter!D13</f>
        <v>Clemson</v>
      </c>
      <c r="F13" s="50" t="str">
        <f aca="false">Chuck!D13</f>
        <v>Iowa</v>
      </c>
      <c r="G13" s="50" t="str">
        <f aca="false">Shelly!D13</f>
        <v>Clemson</v>
      </c>
      <c r="H13" s="50" t="str">
        <f aca="false">Kim!D13</f>
        <v>Iowa</v>
      </c>
      <c r="I13" s="50" t="str">
        <f aca="false">Tucker!D13</f>
        <v>Iowa</v>
      </c>
    </row>
    <row r="14" customFormat="false" ht="15.75" hidden="false" customHeight="true" outlineLevel="0" collapsed="false">
      <c r="A14" s="47" t="s">
        <v>109</v>
      </c>
      <c r="B14" s="29" t="s">
        <v>149</v>
      </c>
      <c r="C14" s="83" t="n">
        <f aca="false">Master_Results!D12</f>
        <v>0</v>
      </c>
      <c r="D14" s="50" t="str">
        <f aca="false">Raman!D14</f>
        <v>Vandy</v>
      </c>
      <c r="E14" s="50" t="str">
        <f aca="false">Porter!D14</f>
        <v>Vandy</v>
      </c>
      <c r="F14" s="50" t="str">
        <f aca="false">Chuck!D14</f>
        <v>Vandy</v>
      </c>
      <c r="G14" s="50" t="str">
        <f aca="false">Shelly!D14</f>
        <v>Vandy</v>
      </c>
      <c r="H14" s="50" t="str">
        <f aca="false">Kim!D14</f>
        <v>Vandy</v>
      </c>
      <c r="I14" s="50" t="str">
        <f aca="false">Tucker!D14</f>
        <v>Vandy</v>
      </c>
    </row>
    <row r="15" customFormat="false" ht="15.75" hidden="false" customHeight="true" outlineLevel="0" collapsed="false">
      <c r="A15" s="47" t="s">
        <v>109</v>
      </c>
      <c r="B15" s="29" t="s">
        <v>151</v>
      </c>
      <c r="C15" s="83" t="n">
        <f aca="false">Master_Results!D13</f>
        <v>0</v>
      </c>
      <c r="D15" s="50" t="str">
        <f aca="false">Raman!D15</f>
        <v>Nebraska</v>
      </c>
      <c r="E15" s="50" t="str">
        <f aca="false">Porter!D15</f>
        <v>Nebraska</v>
      </c>
      <c r="F15" s="50" t="str">
        <f aca="false">Chuck!D15</f>
        <v>Nebraska</v>
      </c>
      <c r="G15" s="50" t="str">
        <f aca="false">Shelly!D15</f>
        <v>Nebraska</v>
      </c>
      <c r="H15" s="50" t="str">
        <f aca="false">Kim!D15</f>
        <v>Nebraska</v>
      </c>
      <c r="I15" s="50" t="str">
        <f aca="false">Tucker!D15</f>
        <v>Nebraska</v>
      </c>
    </row>
    <row r="16" customFormat="false" ht="15.75" hidden="false" customHeight="true" outlineLevel="0" collapsed="false">
      <c r="A16" s="47" t="s">
        <v>109</v>
      </c>
      <c r="B16" s="29" t="s">
        <v>154</v>
      </c>
      <c r="C16" s="83" t="n">
        <f aca="false">Master_Results!D14</f>
        <v>0</v>
      </c>
      <c r="D16" s="50" t="str">
        <f aca="false">Raman!D16</f>
        <v>North Carolina</v>
      </c>
      <c r="E16" s="50" t="str">
        <f aca="false">Porter!D16</f>
        <v>North Carolina</v>
      </c>
      <c r="F16" s="50" t="str">
        <f aca="false">Chuck!D16</f>
        <v>North Carolina</v>
      </c>
      <c r="G16" s="50" t="str">
        <f aca="false">Shelly!D16</f>
        <v>VCU</v>
      </c>
      <c r="H16" s="50" t="str">
        <f aca="false">Kim!D16</f>
        <v>North Carolina</v>
      </c>
      <c r="I16" s="50" t="str">
        <f aca="false">Tucker!D16</f>
        <v>VCU</v>
      </c>
    </row>
    <row r="17" customFormat="false" ht="15.75" hidden="false" customHeight="true" outlineLevel="0" collapsed="false">
      <c r="A17" s="47" t="s">
        <v>109</v>
      </c>
      <c r="B17" s="29" t="s">
        <v>156</v>
      </c>
      <c r="C17" s="83" t="str">
        <f aca="false">Master_Results!D15</f>
        <v>Nebraska</v>
      </c>
      <c r="D17" s="50" t="str">
        <f aca="false">Raman!D17</f>
        <v>Illinois</v>
      </c>
      <c r="E17" s="50" t="str">
        <f aca="false">Porter!D17</f>
        <v>Illinois</v>
      </c>
      <c r="F17" s="50" t="str">
        <f aca="false">Chuck!D17</f>
        <v>Illinois</v>
      </c>
      <c r="G17" s="50" t="str">
        <f aca="false">Shelly!D17</f>
        <v>Illinois</v>
      </c>
      <c r="H17" s="50" t="str">
        <f aca="false">Kim!D17</f>
        <v>Illinois</v>
      </c>
      <c r="I17" s="50" t="str">
        <f aca="false">Tucker!D17</f>
        <v>Illinois</v>
      </c>
    </row>
    <row r="18" customFormat="false" ht="15.75" hidden="false" customHeight="true" outlineLevel="0" collapsed="false">
      <c r="A18" s="47" t="s">
        <v>109</v>
      </c>
      <c r="B18" s="29" t="s">
        <v>158</v>
      </c>
      <c r="C18" s="83" t="n">
        <f aca="false">Master_Results!D16</f>
        <v>0</v>
      </c>
      <c r="D18" s="50" t="str">
        <f aca="false">Raman!D18</f>
        <v>Texas A&amp;M</v>
      </c>
      <c r="E18" s="50" t="str">
        <f aca="false">Porter!D18</f>
        <v>St. Mary's</v>
      </c>
      <c r="F18" s="50" t="str">
        <f aca="false">Chuck!D18</f>
        <v>St. Mary's</v>
      </c>
      <c r="G18" s="50" t="str">
        <f aca="false">Shelly!D18</f>
        <v>St. Mary's</v>
      </c>
      <c r="H18" s="50" t="str">
        <f aca="false">Kim!D18</f>
        <v>Texas A&amp;M</v>
      </c>
      <c r="I18" s="50" t="str">
        <f aca="false">Tucker!D18</f>
        <v>St. Mary</v>
      </c>
    </row>
    <row r="19" customFormat="false" ht="15.75" hidden="false" customHeight="true" outlineLevel="0" collapsed="false">
      <c r="A19" s="47" t="s">
        <v>109</v>
      </c>
      <c r="B19" s="29" t="s">
        <v>160</v>
      </c>
      <c r="C19" s="83" t="n">
        <f aca="false">Master_Results!D17</f>
        <v>0</v>
      </c>
      <c r="D19" s="50" t="str">
        <f aca="false">Raman!D19</f>
        <v>Houston</v>
      </c>
      <c r="E19" s="50" t="str">
        <f aca="false">Porter!D19</f>
        <v>Houston</v>
      </c>
      <c r="F19" s="50" t="str">
        <f aca="false">Chuck!D19</f>
        <v>Houston</v>
      </c>
      <c r="G19" s="50" t="str">
        <f aca="false">Shelly!D19</f>
        <v>Houston</v>
      </c>
      <c r="H19" s="50" t="str">
        <f aca="false">Kim!D19</f>
        <v>Houston</v>
      </c>
      <c r="I19" s="50" t="str">
        <f aca="false">Tucker!D19</f>
        <v>Houston</v>
      </c>
    </row>
    <row r="20" customFormat="false" ht="15.75" hidden="false" customHeight="true" outlineLevel="0" collapsed="false">
      <c r="A20" s="47" t="s">
        <v>109</v>
      </c>
      <c r="B20" s="29" t="s">
        <v>162</v>
      </c>
      <c r="C20" s="83" t="n">
        <f aca="false">Master_Results!D18</f>
        <v>0</v>
      </c>
      <c r="D20" s="50" t="str">
        <f aca="false">Raman!D20</f>
        <v>Arizona</v>
      </c>
      <c r="E20" s="50" t="str">
        <f aca="false">Porter!D20</f>
        <v>Arizona</v>
      </c>
      <c r="F20" s="50" t="str">
        <f aca="false">Chuck!D20</f>
        <v>Arizona</v>
      </c>
      <c r="G20" s="50" t="str">
        <f aca="false">Shelly!D20</f>
        <v>Arizona</v>
      </c>
      <c r="H20" s="50" t="str">
        <f aca="false">Kim!D20</f>
        <v>Arizona</v>
      </c>
      <c r="I20" s="50" t="str">
        <f aca="false">Tucker!D20</f>
        <v>Arizona</v>
      </c>
    </row>
    <row r="21" customFormat="false" ht="15.75" hidden="false" customHeight="true" outlineLevel="0" collapsed="false">
      <c r="A21" s="47" t="s">
        <v>109</v>
      </c>
      <c r="B21" s="29" t="s">
        <v>164</v>
      </c>
      <c r="C21" s="83" t="n">
        <f aca="false">Master_Results!D19</f>
        <v>0</v>
      </c>
      <c r="D21" s="50" t="str">
        <f aca="false">Raman!D21</f>
        <v>Villanova</v>
      </c>
      <c r="E21" s="50" t="str">
        <f aca="false">Porter!D21</f>
        <v>Villanova</v>
      </c>
      <c r="F21" s="50" t="str">
        <f aca="false">Chuck!D21</f>
        <v>Villanova</v>
      </c>
      <c r="G21" s="50" t="str">
        <f aca="false">Shelly!D21</f>
        <v>Villanova</v>
      </c>
      <c r="H21" s="50" t="str">
        <f aca="false">Kim!D21</f>
        <v>Villanova</v>
      </c>
      <c r="I21" s="50" t="str">
        <f aca="false">Tucker!D21</f>
        <v>Villanova</v>
      </c>
    </row>
    <row r="22" customFormat="false" ht="15.75" hidden="false" customHeight="true" outlineLevel="0" collapsed="false">
      <c r="A22" s="47" t="s">
        <v>109</v>
      </c>
      <c r="B22" s="29" t="s">
        <v>166</v>
      </c>
      <c r="C22" s="83" t="n">
        <f aca="false">Master_Results!D20</f>
        <v>0</v>
      </c>
      <c r="D22" s="50" t="str">
        <f aca="false">Raman!D22</f>
        <v>Wisconsin</v>
      </c>
      <c r="E22" s="50" t="str">
        <f aca="false">Porter!D22</f>
        <v>High Point</v>
      </c>
      <c r="F22" s="50" t="str">
        <f aca="false">Chuck!D22</f>
        <v>Wisconsin</v>
      </c>
      <c r="G22" s="50" t="str">
        <f aca="false">Shelly!D22</f>
        <v>Wisconsin</v>
      </c>
      <c r="H22" s="50" t="str">
        <f aca="false">Kim!D22</f>
        <v>Wisconsin</v>
      </c>
      <c r="I22" s="50" t="str">
        <f aca="false">Tucker!D22</f>
        <v>Wisconsin</v>
      </c>
    </row>
    <row r="23" customFormat="false" ht="15.75" hidden="false" customHeight="true" outlineLevel="0" collapsed="false">
      <c r="A23" s="47" t="s">
        <v>109</v>
      </c>
      <c r="B23" s="29" t="s">
        <v>168</v>
      </c>
      <c r="C23" s="83" t="n">
        <f aca="false">Master_Results!D21</f>
        <v>0</v>
      </c>
      <c r="D23" s="50" t="str">
        <f aca="false">Raman!D23</f>
        <v>Arkansas</v>
      </c>
      <c r="E23" s="50" t="str">
        <f aca="false">Porter!D23</f>
        <v>Arkansas</v>
      </c>
      <c r="F23" s="50" t="str">
        <f aca="false">Chuck!D23</f>
        <v>Arkansas</v>
      </c>
      <c r="G23" s="50" t="str">
        <f aca="false">Shelly!D23</f>
        <v>Arkansas</v>
      </c>
      <c r="H23" s="50" t="str">
        <f aca="false">Kim!D23</f>
        <v>Arkansas</v>
      </c>
      <c r="I23" s="50" t="str">
        <f aca="false">Tucker!D23</f>
        <v>Arkansas</v>
      </c>
    </row>
    <row r="24" customFormat="false" ht="15.75" hidden="false" customHeight="true" outlineLevel="0" collapsed="false">
      <c r="A24" s="47" t="s">
        <v>109</v>
      </c>
      <c r="B24" s="29" t="s">
        <v>170</v>
      </c>
      <c r="C24" s="83" t="n">
        <f aca="false">Master_Results!D22</f>
        <v>0</v>
      </c>
      <c r="D24" s="50" t="str">
        <f aca="false">Raman!D24</f>
        <v>BYU</v>
      </c>
      <c r="E24" s="50" t="str">
        <f aca="false">Porter!D24</f>
        <v>BYU</v>
      </c>
      <c r="F24" s="50" t="str">
        <f aca="false">Chuck!D24</f>
        <v>BYU</v>
      </c>
      <c r="G24" s="50" t="str">
        <f aca="false">Shelly!D24</f>
        <v>BYU</v>
      </c>
      <c r="H24" s="50" t="str">
        <f aca="false">Kim!D24</f>
        <v>BYU</v>
      </c>
      <c r="I24" s="50" t="str">
        <f aca="false">Tucker!D24</f>
        <v>BYU</v>
      </c>
    </row>
    <row r="25" customFormat="false" ht="15.75" hidden="false" customHeight="true" outlineLevel="0" collapsed="false">
      <c r="A25" s="47" t="s">
        <v>109</v>
      </c>
      <c r="B25" s="29" t="s">
        <v>172</v>
      </c>
      <c r="C25" s="83" t="n">
        <f aca="false">Master_Results!D23</f>
        <v>0</v>
      </c>
      <c r="D25" s="50" t="str">
        <f aca="false">Raman!D25</f>
        <v>Gonzaga</v>
      </c>
      <c r="E25" s="50" t="str">
        <f aca="false">Porter!D25</f>
        <v>Gonzaga</v>
      </c>
      <c r="F25" s="50" t="str">
        <f aca="false">Chuck!D25</f>
        <v>Gonzaga</v>
      </c>
      <c r="G25" s="50" t="str">
        <f aca="false">Shelly!D25</f>
        <v>Gonzaga</v>
      </c>
      <c r="H25" s="50" t="str">
        <f aca="false">Kim!D25</f>
        <v>Gonzaga</v>
      </c>
      <c r="I25" s="50" t="str">
        <f aca="false">Tucker!D25</f>
        <v>Gonzaga</v>
      </c>
    </row>
    <row r="26" customFormat="false" ht="15.75" hidden="false" customHeight="true" outlineLevel="0" collapsed="false">
      <c r="A26" s="47" t="s">
        <v>109</v>
      </c>
      <c r="B26" s="29" t="s">
        <v>174</v>
      </c>
      <c r="C26" s="83" t="n">
        <f aca="false">Master_Results!D24</f>
        <v>0</v>
      </c>
      <c r="D26" s="50" t="str">
        <f aca="false">Raman!D26</f>
        <v>Miami</v>
      </c>
      <c r="E26" s="50" t="str">
        <f aca="false">Porter!D26</f>
        <v>Miami</v>
      </c>
      <c r="F26" s="50" t="str">
        <f aca="false">Chuck!D26</f>
        <v>Miami</v>
      </c>
      <c r="G26" s="50" t="str">
        <f aca="false">Shelly!D26</f>
        <v>Miami</v>
      </c>
      <c r="H26" s="50" t="str">
        <f aca="false">Kim!D26</f>
        <v>Missouri</v>
      </c>
      <c r="I26" s="50" t="str">
        <f aca="false">Tucker!D26</f>
        <v>Miami</v>
      </c>
    </row>
    <row r="27" customFormat="false" ht="15.75" hidden="false" customHeight="true" outlineLevel="0" collapsed="false">
      <c r="A27" s="47" t="s">
        <v>109</v>
      </c>
      <c r="B27" s="29" t="s">
        <v>176</v>
      </c>
      <c r="C27" s="83" t="n">
        <f aca="false">Master_Results!D25</f>
        <v>0</v>
      </c>
      <c r="D27" s="50" t="str">
        <f aca="false">Raman!D27</f>
        <v>Purdue</v>
      </c>
      <c r="E27" s="50" t="str">
        <f aca="false">Porter!D27</f>
        <v>Purdue</v>
      </c>
      <c r="F27" s="50" t="str">
        <f aca="false">Chuck!D27</f>
        <v>Purdue</v>
      </c>
      <c r="G27" s="50" t="str">
        <f aca="false">Shelly!D27</f>
        <v>Purdue</v>
      </c>
      <c r="H27" s="50" t="str">
        <f aca="false">Kim!D27</f>
        <v>Purdue</v>
      </c>
      <c r="I27" s="50" t="str">
        <f aca="false">Tucker!D27</f>
        <v>Purdue</v>
      </c>
    </row>
    <row r="28" customFormat="false" ht="15.75" hidden="false" customHeight="true" outlineLevel="0" collapsed="false">
      <c r="A28" s="47" t="s">
        <v>109</v>
      </c>
      <c r="B28" s="29" t="s">
        <v>178</v>
      </c>
      <c r="C28" s="83" t="n">
        <f aca="false">Master_Results!D26</f>
        <v>0</v>
      </c>
      <c r="D28" s="50" t="str">
        <f aca="false">Raman!D28</f>
        <v>Michigan</v>
      </c>
      <c r="E28" s="50" t="str">
        <f aca="false">Porter!D28</f>
        <v>Michigan</v>
      </c>
      <c r="F28" s="50" t="str">
        <f aca="false">Chuck!D28</f>
        <v>Michigan</v>
      </c>
      <c r="G28" s="50" t="str">
        <f aca="false">Shelly!D28</f>
        <v>Michigan</v>
      </c>
      <c r="H28" s="50" t="str">
        <f aca="false">Kim!D28</f>
        <v>Michigan</v>
      </c>
      <c r="I28" s="50" t="str">
        <f aca="false">Tucker!D28</f>
        <v>Michigan</v>
      </c>
    </row>
    <row r="29" customFormat="false" ht="15.75" hidden="false" customHeight="true" outlineLevel="0" collapsed="false">
      <c r="A29" s="47" t="s">
        <v>109</v>
      </c>
      <c r="B29" s="29" t="s">
        <v>180</v>
      </c>
      <c r="C29" s="83" t="n">
        <f aca="false">Master_Results!D27</f>
        <v>0</v>
      </c>
      <c r="D29" s="50" t="str">
        <f aca="false">Raman!D29</f>
        <v>St. Louis</v>
      </c>
      <c r="E29" s="50" t="str">
        <f aca="false">Porter!D29</f>
        <v>Georgia</v>
      </c>
      <c r="F29" s="50" t="str">
        <f aca="false">Chuck!D29</f>
        <v>St. Louis</v>
      </c>
      <c r="G29" s="50" t="str">
        <f aca="false">Shelly!D29</f>
        <v>Georgia</v>
      </c>
      <c r="H29" s="50" t="str">
        <f aca="false">Kim!D29</f>
        <v>Georgia</v>
      </c>
      <c r="I29" s="50" t="str">
        <f aca="false">Tucker!D29</f>
        <v>Georgia</v>
      </c>
    </row>
    <row r="30" customFormat="false" ht="15.75" hidden="false" customHeight="true" outlineLevel="0" collapsed="false">
      <c r="A30" s="47" t="s">
        <v>109</v>
      </c>
      <c r="B30" s="29" t="s">
        <v>182</v>
      </c>
      <c r="C30" s="83" t="n">
        <f aca="false">Master_Results!D28</f>
        <v>0</v>
      </c>
      <c r="D30" s="50" t="str">
        <f aca="false">Raman!D30</f>
        <v>Texas Tech</v>
      </c>
      <c r="E30" s="50" t="str">
        <f aca="false">Porter!D30</f>
        <v>Texas Tech</v>
      </c>
      <c r="F30" s="50" t="str">
        <f aca="false">Chuck!D30</f>
        <v>Texas Tech</v>
      </c>
      <c r="G30" s="50" t="str">
        <f aca="false">Shelly!D30</f>
        <v>Akron</v>
      </c>
      <c r="H30" s="50" t="str">
        <f aca="false">Kim!D30</f>
        <v>Texas Tech</v>
      </c>
      <c r="I30" s="50" t="str">
        <f aca="false">Tucker!D30</f>
        <v>Texas Tech</v>
      </c>
    </row>
    <row r="31" customFormat="false" ht="15.75" hidden="false" customHeight="true" outlineLevel="0" collapsed="false">
      <c r="A31" s="47" t="s">
        <v>109</v>
      </c>
      <c r="B31" s="29" t="s">
        <v>184</v>
      </c>
      <c r="C31" s="83" t="n">
        <f aca="false">Master_Results!D29</f>
        <v>0</v>
      </c>
      <c r="D31" s="50" t="str">
        <f aca="false">Raman!D31</f>
        <v>Alabama</v>
      </c>
      <c r="E31" s="50" t="str">
        <f aca="false">Porter!D31</f>
        <v>Alabama</v>
      </c>
      <c r="F31" s="50" t="str">
        <f aca="false">Chuck!D31</f>
        <v>Alabama</v>
      </c>
      <c r="G31" s="50" t="str">
        <f aca="false">Shelly!D31</f>
        <v>Alabama</v>
      </c>
      <c r="H31" s="50" t="str">
        <f aca="false">Kim!D31</f>
        <v>Alabama</v>
      </c>
      <c r="I31" s="50" t="str">
        <f aca="false">Tucker!D31</f>
        <v>Alabama</v>
      </c>
    </row>
    <row r="32" customFormat="false" ht="15.75" hidden="false" customHeight="true" outlineLevel="0" collapsed="false">
      <c r="A32" s="47" t="s">
        <v>109</v>
      </c>
      <c r="B32" s="29" t="s">
        <v>186</v>
      </c>
      <c r="C32" s="83" t="n">
        <f aca="false">Master_Results!D30</f>
        <v>0</v>
      </c>
      <c r="D32" s="50" t="str">
        <f aca="false">Raman!D32</f>
        <v>Tennessee</v>
      </c>
      <c r="E32" s="50" t="str">
        <f aca="false">Porter!D32</f>
        <v>Tennessee</v>
      </c>
      <c r="F32" s="50" t="str">
        <f aca="false">Chuck!D32</f>
        <v>Tennessee</v>
      </c>
      <c r="G32" s="50" t="str">
        <f aca="false">Shelly!D32</f>
        <v>Tennessee</v>
      </c>
      <c r="H32" s="50" t="str">
        <f aca="false">Kim!D32</f>
        <v>Tennessee</v>
      </c>
      <c r="I32" s="50" t="str">
        <f aca="false">Tucker!D32</f>
        <v>Tennessee</v>
      </c>
    </row>
    <row r="33" customFormat="false" ht="15.75" hidden="false" customHeight="true" outlineLevel="0" collapsed="false">
      <c r="A33" s="47" t="s">
        <v>109</v>
      </c>
      <c r="B33" s="29" t="s">
        <v>188</v>
      </c>
      <c r="C33" s="83" t="n">
        <f aca="false">Master_Results!D31</f>
        <v>0</v>
      </c>
      <c r="D33" s="50" t="str">
        <f aca="false">Raman!D33</f>
        <v>Virginia</v>
      </c>
      <c r="E33" s="50" t="str">
        <f aca="false">Porter!D33</f>
        <v>Virginia</v>
      </c>
      <c r="F33" s="50" t="str">
        <f aca="false">Chuck!D33</f>
        <v>Virginia</v>
      </c>
      <c r="G33" s="50" t="str">
        <f aca="false">Shelly!D33</f>
        <v>Virginia</v>
      </c>
      <c r="H33" s="50" t="str">
        <f aca="false">Kim!D33</f>
        <v>Virginia</v>
      </c>
      <c r="I33" s="50" t="str">
        <f aca="false">Tucker!D33</f>
        <v>Virginia</v>
      </c>
    </row>
    <row r="34" customFormat="false" ht="15.75" hidden="false" customHeight="true" outlineLevel="0" collapsed="false">
      <c r="A34" s="47" t="s">
        <v>109</v>
      </c>
      <c r="B34" s="29" t="s">
        <v>190</v>
      </c>
      <c r="C34" s="83" t="n">
        <f aca="false">Master_Results!D32</f>
        <v>0</v>
      </c>
      <c r="D34" s="50" t="str">
        <f aca="false">Raman!D34</f>
        <v>Kentucky</v>
      </c>
      <c r="E34" s="50" t="str">
        <f aca="false">Porter!D34</f>
        <v>Santa Clara</v>
      </c>
      <c r="F34" s="50" t="str">
        <f aca="false">Chuck!D34</f>
        <v>Kentucky</v>
      </c>
      <c r="G34" s="50" t="str">
        <f aca="false">Shelly!D34</f>
        <v>Kentucky</v>
      </c>
      <c r="H34" s="50" t="str">
        <f aca="false">Kim!D34</f>
        <v>Kentucky</v>
      </c>
      <c r="I34" s="50" t="str">
        <f aca="false">Tucker!D34</f>
        <v>Kentucky</v>
      </c>
    </row>
    <row r="35" customFormat="false" ht="15.75" hidden="false" customHeight="true" outlineLevel="0" collapsed="false">
      <c r="A35" s="47" t="s">
        <v>109</v>
      </c>
      <c r="B35" s="29" t="s">
        <v>192</v>
      </c>
      <c r="C35" s="83" t="n">
        <f aca="false">Master_Results!D33</f>
        <v>0</v>
      </c>
      <c r="D35" s="50" t="str">
        <f aca="false">Raman!D35</f>
        <v>Iowa State</v>
      </c>
      <c r="E35" s="50" t="str">
        <f aca="false">Porter!D35</f>
        <v>Iowa State</v>
      </c>
      <c r="F35" s="50" t="str">
        <f aca="false">Chuck!D35</f>
        <v>Iowa State</v>
      </c>
      <c r="G35" s="50" t="str">
        <f aca="false">Shelly!D35</f>
        <v>Iowa State</v>
      </c>
      <c r="H35" s="50" t="str">
        <f aca="false">Kim!D35</f>
        <v>Iowa State</v>
      </c>
      <c r="I35" s="50" t="str">
        <f aca="false">Tucker!D35</f>
        <v>Iowa</v>
      </c>
    </row>
    <row r="36" customFormat="false" ht="18.75" hidden="false" customHeight="true" outlineLevel="0" collapsed="false">
      <c r="A36" s="31" t="s">
        <v>193</v>
      </c>
      <c r="B36" s="31"/>
      <c r="C36" s="31"/>
      <c r="D36" s="31"/>
      <c r="E36" s="31"/>
      <c r="F36" s="31"/>
      <c r="G36" s="31"/>
      <c r="H36" s="31"/>
      <c r="I36" s="31"/>
    </row>
    <row r="37" customFormat="false" ht="15.75" hidden="false" customHeight="true" outlineLevel="0" collapsed="false">
      <c r="A37" s="51" t="s">
        <v>110</v>
      </c>
      <c r="B37" s="33" t="s">
        <v>195</v>
      </c>
      <c r="C37" s="84" t="n">
        <f aca="false">Master_Results!D34</f>
        <v>0</v>
      </c>
      <c r="D37" s="54" t="str">
        <f aca="false">Raman!D37</f>
        <v>Duke</v>
      </c>
      <c r="E37" s="54" t="str">
        <f aca="false">Porter!D37</f>
        <v>Duke</v>
      </c>
      <c r="F37" s="54" t="str">
        <f aca="false">Chuck!D37</f>
        <v>Duke</v>
      </c>
      <c r="G37" s="54" t="str">
        <f aca="false">Shelly!D37</f>
        <v>Duke</v>
      </c>
      <c r="H37" s="54" t="str">
        <f aca="false">Kim!D37</f>
        <v>Duke</v>
      </c>
      <c r="I37" s="54" t="str">
        <f aca="false">Tucker!D37</f>
        <v>Duke</v>
      </c>
    </row>
    <row r="38" customFormat="false" ht="15.75" hidden="false" customHeight="true" outlineLevel="0" collapsed="false">
      <c r="A38" s="51" t="s">
        <v>110</v>
      </c>
      <c r="B38" s="33" t="s">
        <v>197</v>
      </c>
      <c r="C38" s="84" t="n">
        <f aca="false">Master_Results!D35</f>
        <v>0</v>
      </c>
      <c r="D38" s="54" t="str">
        <f aca="false">Raman!D38</f>
        <v>St. John</v>
      </c>
      <c r="E38" s="54" t="str">
        <f aca="false">Porter!D38</f>
        <v>Kansas</v>
      </c>
      <c r="F38" s="54" t="str">
        <f aca="false">Chuck!D38</f>
        <v>Kansas</v>
      </c>
      <c r="G38" s="54" t="str">
        <f aca="false">Shelly!D38</f>
        <v>Kansas</v>
      </c>
      <c r="H38" s="54" t="str">
        <f aca="false">Kim!D38</f>
        <v>Kansas</v>
      </c>
      <c r="I38" s="54" t="str">
        <f aca="false">Tucker!D38</f>
        <v>Kansas</v>
      </c>
    </row>
    <row r="39" customFormat="false" ht="15.75" hidden="false" customHeight="true" outlineLevel="0" collapsed="false">
      <c r="A39" s="51" t="s">
        <v>110</v>
      </c>
      <c r="B39" s="33" t="s">
        <v>199</v>
      </c>
      <c r="C39" s="84" t="n">
        <f aca="false">Master_Results!D36</f>
        <v>0</v>
      </c>
      <c r="D39" s="54" t="str">
        <f aca="false">Raman!D39</f>
        <v>Mich St</v>
      </c>
      <c r="E39" s="54" t="str">
        <f aca="false">Porter!D39</f>
        <v>Mich St</v>
      </c>
      <c r="F39" s="54" t="str">
        <f aca="false">Chuck!D39</f>
        <v>Mich St</v>
      </c>
      <c r="G39" s="54" t="str">
        <f aca="false">Shelly!D39</f>
        <v>Michigan St</v>
      </c>
      <c r="H39" s="54" t="str">
        <f aca="false">Kim!D39</f>
        <v>Mich St</v>
      </c>
      <c r="I39" s="54" t="str">
        <f aca="false">Tucker!D39</f>
        <v>Mich St</v>
      </c>
    </row>
    <row r="40" customFormat="false" ht="15.75" hidden="false" customHeight="true" outlineLevel="0" collapsed="false">
      <c r="A40" s="51" t="s">
        <v>110</v>
      </c>
      <c r="B40" s="33" t="s">
        <v>201</v>
      </c>
      <c r="C40" s="84" t="n">
        <f aca="false">Master_Results!D37</f>
        <v>0</v>
      </c>
      <c r="D40" s="54" t="str">
        <f aca="false">Raman!D40</f>
        <v>UCLA</v>
      </c>
      <c r="E40" s="54" t="str">
        <f aca="false">Porter!D40</f>
        <v>UConn</v>
      </c>
      <c r="F40" s="54" t="str">
        <f aca="false">Chuck!D40</f>
        <v>UConn</v>
      </c>
      <c r="G40" s="54" t="str">
        <f aca="false">Shelly!D40</f>
        <v>UConn</v>
      </c>
      <c r="H40" s="54" t="str">
        <f aca="false">Kim!D40</f>
        <v>UConn</v>
      </c>
      <c r="I40" s="54" t="str">
        <f aca="false">Tucker!D40</f>
        <v>UConn</v>
      </c>
    </row>
    <row r="41" customFormat="false" ht="15.75" hidden="false" customHeight="true" outlineLevel="0" collapsed="false">
      <c r="A41" s="51" t="s">
        <v>110</v>
      </c>
      <c r="B41" s="33" t="s">
        <v>203</v>
      </c>
      <c r="C41" s="84" t="n">
        <f aca="false">Master_Results!D38</f>
        <v>0</v>
      </c>
      <c r="D41" s="54" t="str">
        <f aca="false">Raman!D41</f>
        <v>Florida</v>
      </c>
      <c r="E41" s="54" t="str">
        <f aca="false">Porter!D41</f>
        <v>Florida</v>
      </c>
      <c r="F41" s="54" t="str">
        <f aca="false">Chuck!D41</f>
        <v>Florida</v>
      </c>
      <c r="G41" s="54" t="str">
        <f aca="false">Shelly!D41</f>
        <v>Florida</v>
      </c>
      <c r="H41" s="54" t="str">
        <f aca="false">Kim!D41</f>
        <v>Florida</v>
      </c>
      <c r="I41" s="54" t="str">
        <f aca="false">Tucker!D41</f>
        <v>Florida</v>
      </c>
    </row>
    <row r="42" customFormat="false" ht="15.75" hidden="false" customHeight="true" outlineLevel="0" collapsed="false">
      <c r="A42" s="51" t="s">
        <v>110</v>
      </c>
      <c r="B42" s="33" t="s">
        <v>205</v>
      </c>
      <c r="C42" s="84" t="n">
        <f aca="false">Master_Results!D39</f>
        <v>0</v>
      </c>
      <c r="D42" s="54" t="str">
        <f aca="false">Raman!D42</f>
        <v>Vandy</v>
      </c>
      <c r="E42" s="54" t="str">
        <f aca="false">Porter!D42</f>
        <v>Vandy</v>
      </c>
      <c r="F42" s="54" t="str">
        <f aca="false">Chuck!D42</f>
        <v>Vandy</v>
      </c>
      <c r="G42" s="54" t="str">
        <f aca="false">Shelly!D42</f>
        <v>Nebraska</v>
      </c>
      <c r="H42" s="54" t="str">
        <f aca="false">Kim!D42</f>
        <v>Nebraska</v>
      </c>
      <c r="I42" s="54" t="str">
        <f aca="false">Tucker!D42</f>
        <v>Nebraska</v>
      </c>
    </row>
    <row r="43" customFormat="false" ht="15.75" hidden="false" customHeight="true" outlineLevel="0" collapsed="false">
      <c r="A43" s="51" t="s">
        <v>110</v>
      </c>
      <c r="B43" s="33" t="s">
        <v>207</v>
      </c>
      <c r="C43" s="84" t="n">
        <f aca="false">Master_Results!D40</f>
        <v>0</v>
      </c>
      <c r="D43" s="54" t="str">
        <f aca="false">Raman!D43</f>
        <v>North Carolina</v>
      </c>
      <c r="E43" s="54" t="str">
        <f aca="false">Porter!D43</f>
        <v>Nebraska</v>
      </c>
      <c r="F43" s="54" t="str">
        <f aca="false">Chuck!D43</f>
        <v>Nebraska</v>
      </c>
      <c r="G43" s="54" t="str">
        <f aca="false">Shelly!D43</f>
        <v>VCU</v>
      </c>
      <c r="H43" s="54" t="str">
        <f aca="false">Kim!D43</f>
        <v>North Carolina</v>
      </c>
      <c r="I43" s="54" t="str">
        <f aca="false">Tucker!D43</f>
        <v>Illinois</v>
      </c>
    </row>
    <row r="44" customFormat="false" ht="15.75" hidden="false" customHeight="true" outlineLevel="0" collapsed="false">
      <c r="A44" s="51" t="s">
        <v>110</v>
      </c>
      <c r="B44" s="33" t="s">
        <v>209</v>
      </c>
      <c r="C44" s="84" t="n">
        <f aca="false">Master_Results!D41</f>
        <v>0</v>
      </c>
      <c r="D44" s="54" t="str">
        <f aca="false">Raman!D44</f>
        <v>Houston</v>
      </c>
      <c r="E44" s="54" t="str">
        <f aca="false">Porter!D44</f>
        <v>Houston</v>
      </c>
      <c r="F44" s="54" t="str">
        <f aca="false">Chuck!D44</f>
        <v>Houston</v>
      </c>
      <c r="G44" s="54" t="str">
        <f aca="false">Shelly!D44</f>
        <v>Houston</v>
      </c>
      <c r="H44" s="54" t="str">
        <f aca="false">Kim!D44</f>
        <v>Houston</v>
      </c>
      <c r="I44" s="54" t="str">
        <f aca="false">Tucker!D44</f>
        <v>Houston</v>
      </c>
    </row>
    <row r="45" customFormat="false" ht="15.75" hidden="false" customHeight="true" outlineLevel="0" collapsed="false">
      <c r="A45" s="51" t="s">
        <v>110</v>
      </c>
      <c r="B45" s="33" t="s">
        <v>211</v>
      </c>
      <c r="C45" s="84" t="n">
        <f aca="false">Master_Results!D42</f>
        <v>0</v>
      </c>
      <c r="D45" s="54" t="str">
        <f aca="false">Raman!D45</f>
        <v>Arizona</v>
      </c>
      <c r="E45" s="54" t="str">
        <f aca="false">Porter!D45</f>
        <v>Arizona</v>
      </c>
      <c r="F45" s="54" t="str">
        <f aca="false">Chuck!D45</f>
        <v>Arizona</v>
      </c>
      <c r="G45" s="54" t="str">
        <f aca="false">Shelly!D45</f>
        <v>Arizona</v>
      </c>
      <c r="H45" s="54" t="str">
        <f aca="false">Kim!D45</f>
        <v>Arizona</v>
      </c>
      <c r="I45" s="54" t="str">
        <f aca="false">Tucker!D45</f>
        <v>Arizona</v>
      </c>
    </row>
    <row r="46" customFormat="false" ht="15.75" hidden="false" customHeight="true" outlineLevel="0" collapsed="false">
      <c r="A46" s="51" t="s">
        <v>110</v>
      </c>
      <c r="B46" s="33" t="s">
        <v>213</v>
      </c>
      <c r="C46" s="84" t="n">
        <f aca="false">Master_Results!D43</f>
        <v>0</v>
      </c>
      <c r="D46" s="54" t="str">
        <f aca="false">Raman!D46</f>
        <v>Arkansas</v>
      </c>
      <c r="E46" s="54" t="str">
        <f aca="false">Porter!D46</f>
        <v>Arkansas</v>
      </c>
      <c r="F46" s="54" t="str">
        <f aca="false">Chuck!D46</f>
        <v>Arkansas</v>
      </c>
      <c r="G46" s="54" t="str">
        <f aca="false">Shelly!D46</f>
        <v>Arkansas</v>
      </c>
      <c r="H46" s="54" t="str">
        <f aca="false">Kim!D46</f>
        <v>Arkansas</v>
      </c>
      <c r="I46" s="54" t="str">
        <f aca="false">Tucker!D46</f>
        <v>Wisconsin</v>
      </c>
    </row>
    <row r="47" customFormat="false" ht="15.75" hidden="false" customHeight="true" outlineLevel="0" collapsed="false">
      <c r="A47" s="51" t="s">
        <v>110</v>
      </c>
      <c r="B47" s="33" t="s">
        <v>215</v>
      </c>
      <c r="C47" s="84" t="n">
        <f aca="false">Master_Results!D44</f>
        <v>0</v>
      </c>
      <c r="D47" s="54" t="str">
        <f aca="false">Raman!D47</f>
        <v>Gonzaga</v>
      </c>
      <c r="E47" s="54" t="str">
        <f aca="false">Porter!D47</f>
        <v>Gonzaga</v>
      </c>
      <c r="F47" s="54" t="str">
        <f aca="false">Chuck!D47</f>
        <v>Gonzaga</v>
      </c>
      <c r="G47" s="54" t="str">
        <f aca="false">Shelly!D47</f>
        <v>BYU</v>
      </c>
      <c r="H47" s="54" t="str">
        <f aca="false">Kim!D47</f>
        <v>BYU</v>
      </c>
      <c r="I47" s="54" t="str">
        <f aca="false">Tucker!D47</f>
        <v>BYU</v>
      </c>
    </row>
    <row r="48" customFormat="false" ht="15.75" hidden="false" customHeight="true" outlineLevel="0" collapsed="false">
      <c r="A48" s="51" t="s">
        <v>110</v>
      </c>
      <c r="B48" s="33" t="s">
        <v>217</v>
      </c>
      <c r="C48" s="84" t="n">
        <f aca="false">Master_Results!D45</f>
        <v>0</v>
      </c>
      <c r="D48" s="54" t="str">
        <f aca="false">Raman!D48</f>
        <v>Purdue</v>
      </c>
      <c r="E48" s="54" t="str">
        <f aca="false">Porter!D48</f>
        <v>Purdue</v>
      </c>
      <c r="F48" s="54" t="str">
        <f aca="false">Chuck!D48</f>
        <v>Purdue</v>
      </c>
      <c r="G48" s="54" t="str">
        <f aca="false">Shelly!D48</f>
        <v>Purdue</v>
      </c>
      <c r="H48" s="54" t="str">
        <f aca="false">Kim!D48</f>
        <v>Purdue</v>
      </c>
      <c r="I48" s="54" t="str">
        <f aca="false">Tucker!D48</f>
        <v>Purdue</v>
      </c>
    </row>
    <row r="49" customFormat="false" ht="15.75" hidden="false" customHeight="true" outlineLevel="0" collapsed="false">
      <c r="A49" s="51" t="s">
        <v>110</v>
      </c>
      <c r="B49" s="33" t="s">
        <v>219</v>
      </c>
      <c r="C49" s="84" t="n">
        <f aca="false">Master_Results!D46</f>
        <v>0</v>
      </c>
      <c r="D49" s="54" t="str">
        <f aca="false">Raman!D49</f>
        <v>Michigan</v>
      </c>
      <c r="E49" s="54" t="str">
        <f aca="false">Porter!D49</f>
        <v>Michigan</v>
      </c>
      <c r="F49" s="54" t="str">
        <f aca="false">Chuck!D49</f>
        <v>Michigan</v>
      </c>
      <c r="G49" s="54" t="str">
        <f aca="false">Shelly!D49</f>
        <v>Michigan</v>
      </c>
      <c r="H49" s="54" t="str">
        <f aca="false">Kim!D49</f>
        <v>Michigan</v>
      </c>
      <c r="I49" s="54" t="str">
        <f aca="false">Tucker!D49</f>
        <v>Michigan</v>
      </c>
    </row>
    <row r="50" customFormat="false" ht="15.75" hidden="false" customHeight="true" outlineLevel="0" collapsed="false">
      <c r="A50" s="51" t="s">
        <v>110</v>
      </c>
      <c r="B50" s="33" t="s">
        <v>221</v>
      </c>
      <c r="C50" s="84" t="n">
        <f aca="false">Master_Results!D47</f>
        <v>0</v>
      </c>
      <c r="D50" s="54" t="str">
        <f aca="false">Raman!D50</f>
        <v>Texas Tech</v>
      </c>
      <c r="E50" s="54" t="str">
        <f aca="false">Porter!D50</f>
        <v>Alabama</v>
      </c>
      <c r="F50" s="54" t="str">
        <f aca="false">Chuck!D50</f>
        <v>Alabama</v>
      </c>
      <c r="G50" s="54" t="str">
        <f aca="false">Shelly!D50</f>
        <v>Alabama</v>
      </c>
      <c r="H50" s="54" t="str">
        <f aca="false">Kim!D50</f>
        <v>Texas Tech</v>
      </c>
      <c r="I50" s="54" t="str">
        <f aca="false">Tucker!D50</f>
        <v>Alabama</v>
      </c>
    </row>
    <row r="51" customFormat="false" ht="15.75" hidden="false" customHeight="true" outlineLevel="0" collapsed="false">
      <c r="A51" s="51" t="s">
        <v>110</v>
      </c>
      <c r="B51" s="33" t="s">
        <v>223</v>
      </c>
      <c r="C51" s="84" t="n">
        <f aca="false">Master_Results!D48</f>
        <v>0</v>
      </c>
      <c r="D51" s="54" t="str">
        <f aca="false">Raman!D51</f>
        <v>Virginia</v>
      </c>
      <c r="E51" s="54" t="str">
        <f aca="false">Porter!D51</f>
        <v>Tennessee</v>
      </c>
      <c r="F51" s="54" t="str">
        <f aca="false">Chuck!D51</f>
        <v>Tennessee</v>
      </c>
      <c r="G51" s="54" t="str">
        <f aca="false">Shelly!D51</f>
        <v>Tennessee</v>
      </c>
      <c r="H51" s="54" t="str">
        <f aca="false">Kim!D51</f>
        <v>Tennessee</v>
      </c>
      <c r="I51" s="54" t="str">
        <f aca="false">Tucker!D51</f>
        <v>Virginia</v>
      </c>
    </row>
    <row r="52" customFormat="false" ht="15.75" hidden="false" customHeight="true" outlineLevel="0" collapsed="false">
      <c r="A52" s="51" t="s">
        <v>110</v>
      </c>
      <c r="B52" s="33" t="s">
        <v>225</v>
      </c>
      <c r="C52" s="84" t="n">
        <f aca="false">Master_Results!D49</f>
        <v>0</v>
      </c>
      <c r="D52" s="54" t="str">
        <f aca="false">Raman!D52</f>
        <v>Iowa</v>
      </c>
      <c r="E52" s="54" t="str">
        <f aca="false">Porter!D52</f>
        <v>Iowa State</v>
      </c>
      <c r="F52" s="54" t="str">
        <f aca="false">Chuck!D52</f>
        <v>Iowa State</v>
      </c>
      <c r="G52" s="54" t="str">
        <f aca="false">Shelly!D52</f>
        <v>Kentucky</v>
      </c>
      <c r="H52" s="54" t="str">
        <f aca="false">Kim!D52</f>
        <v>Iowa State</v>
      </c>
      <c r="I52" s="54" t="str">
        <f aca="false">Tucker!D52</f>
        <v>Iowa</v>
      </c>
    </row>
    <row r="53" customFormat="false" ht="18.75" hidden="false" customHeight="true" outlineLevel="0" collapsed="false">
      <c r="A53" s="34" t="s">
        <v>226</v>
      </c>
      <c r="B53" s="34"/>
      <c r="C53" s="34"/>
      <c r="D53" s="34"/>
      <c r="E53" s="34"/>
      <c r="F53" s="34"/>
      <c r="G53" s="34"/>
      <c r="H53" s="34"/>
      <c r="I53" s="34"/>
    </row>
    <row r="54" customFormat="false" ht="15.75" hidden="false" customHeight="true" outlineLevel="0" collapsed="false">
      <c r="A54" s="55" t="s">
        <v>111</v>
      </c>
      <c r="B54" s="36" t="s">
        <v>195</v>
      </c>
      <c r="C54" s="85" t="n">
        <f aca="false">Master_Results!D50</f>
        <v>0</v>
      </c>
      <c r="D54" s="58" t="str">
        <f aca="false">Raman!D54</f>
        <v>Duke</v>
      </c>
      <c r="E54" s="58" t="str">
        <f aca="false">Porter!D54</f>
        <v>Duke</v>
      </c>
      <c r="F54" s="58" t="str">
        <f aca="false">Chuck!D54</f>
        <v>Duke</v>
      </c>
      <c r="G54" s="58" t="str">
        <f aca="false">Shelly!D54</f>
        <v>Duke</v>
      </c>
      <c r="H54" s="58" t="str">
        <f aca="false">Kim!D54</f>
        <v>Duke</v>
      </c>
      <c r="I54" s="58" t="str">
        <f aca="false">Tucker!D54</f>
        <v>Duke</v>
      </c>
    </row>
    <row r="55" customFormat="false" ht="15.75" hidden="false" customHeight="true" outlineLevel="0" collapsed="false">
      <c r="A55" s="55" t="s">
        <v>111</v>
      </c>
      <c r="B55" s="36" t="s">
        <v>197</v>
      </c>
      <c r="C55" s="85" t="n">
        <f aca="false">Master_Results!D51</f>
        <v>0</v>
      </c>
      <c r="D55" s="58" t="str">
        <f aca="false">Raman!D55</f>
        <v>UCLA</v>
      </c>
      <c r="E55" s="58" t="str">
        <f aca="false">Porter!D55</f>
        <v>UConn</v>
      </c>
      <c r="F55" s="58" t="str">
        <f aca="false">Chuck!D55</f>
        <v>UConn</v>
      </c>
      <c r="G55" s="58" t="str">
        <f aca="false">Shelly!D55</f>
        <v>Michigan St</v>
      </c>
      <c r="H55" s="58" t="str">
        <f aca="false">Kim!D55</f>
        <v>UConn</v>
      </c>
      <c r="I55" s="58" t="str">
        <f aca="false">Tucker!D55</f>
        <v>UConn</v>
      </c>
    </row>
    <row r="56" customFormat="false" ht="15.75" hidden="false" customHeight="true" outlineLevel="0" collapsed="false">
      <c r="A56" s="55" t="s">
        <v>111</v>
      </c>
      <c r="B56" s="36" t="s">
        <v>199</v>
      </c>
      <c r="C56" s="85" t="n">
        <f aca="false">Master_Results!D52</f>
        <v>0</v>
      </c>
      <c r="D56" s="58" t="str">
        <f aca="false">Raman!D56</f>
        <v>Vandy</v>
      </c>
      <c r="E56" s="58" t="str">
        <f aca="false">Porter!D56</f>
        <v>Florida</v>
      </c>
      <c r="F56" s="58" t="str">
        <f aca="false">Chuck!D56</f>
        <v>Florida</v>
      </c>
      <c r="G56" s="58" t="str">
        <f aca="false">Shelly!D56</f>
        <v>Florida</v>
      </c>
      <c r="H56" s="58" t="str">
        <f aca="false">Kim!D56</f>
        <v>North Carolina</v>
      </c>
      <c r="I56" s="58" t="str">
        <f aca="false">Tucker!D56</f>
        <v>Florida</v>
      </c>
    </row>
    <row r="57" customFormat="false" ht="15.75" hidden="false" customHeight="true" outlineLevel="0" collapsed="false">
      <c r="A57" s="55" t="s">
        <v>111</v>
      </c>
      <c r="B57" s="36" t="s">
        <v>201</v>
      </c>
      <c r="C57" s="85" t="n">
        <f aca="false">Master_Results!D53</f>
        <v>0</v>
      </c>
      <c r="D57" s="58" t="str">
        <f aca="false">Raman!D57</f>
        <v>Houston</v>
      </c>
      <c r="E57" s="58" t="str">
        <f aca="false">Porter!D57</f>
        <v>Houston</v>
      </c>
      <c r="F57" s="58" t="str">
        <f aca="false">Chuck!D57</f>
        <v>Houston</v>
      </c>
      <c r="G57" s="58" t="str">
        <f aca="false">Shelly!D57</f>
        <v>Houston</v>
      </c>
      <c r="H57" s="58" t="str">
        <f aca="false">Kim!D57</f>
        <v>Houston</v>
      </c>
      <c r="I57" s="58" t="str">
        <f aca="false">Tucker!D57</f>
        <v>Illinois</v>
      </c>
    </row>
    <row r="58" customFormat="false" ht="15.75" hidden="false" customHeight="true" outlineLevel="0" collapsed="false">
      <c r="A58" s="55" t="s">
        <v>111</v>
      </c>
      <c r="B58" s="36" t="s">
        <v>203</v>
      </c>
      <c r="C58" s="85" t="n">
        <f aca="false">Master_Results!D54</f>
        <v>0</v>
      </c>
      <c r="D58" s="58" t="str">
        <f aca="false">Raman!D58</f>
        <v>Arizona</v>
      </c>
      <c r="E58" s="58" t="str">
        <f aca="false">Porter!D58</f>
        <v>Arizona</v>
      </c>
      <c r="F58" s="58" t="str">
        <f aca="false">Chuck!D58</f>
        <v>Arizona</v>
      </c>
      <c r="G58" s="58" t="str">
        <f aca="false">Shelly!D58</f>
        <v>Arizona</v>
      </c>
      <c r="H58" s="58" t="str">
        <f aca="false">Kim!D58</f>
        <v>Arizona</v>
      </c>
      <c r="I58" s="58" t="str">
        <f aca="false">Tucker!D58</f>
        <v>Arizona</v>
      </c>
    </row>
    <row r="59" customFormat="false" ht="15.75" hidden="false" customHeight="true" outlineLevel="0" collapsed="false">
      <c r="A59" s="55" t="s">
        <v>111</v>
      </c>
      <c r="B59" s="36" t="s">
        <v>205</v>
      </c>
      <c r="C59" s="85" t="n">
        <f aca="false">Master_Results!D55</f>
        <v>0</v>
      </c>
      <c r="D59" s="58" t="str">
        <f aca="false">Raman!D59</f>
        <v>Purdue</v>
      </c>
      <c r="E59" s="58" t="str">
        <f aca="false">Porter!D59</f>
        <v>Purdue</v>
      </c>
      <c r="F59" s="58" t="str">
        <f aca="false">Chuck!D59</f>
        <v>Gonzaga</v>
      </c>
      <c r="G59" s="58" t="str">
        <f aca="false">Shelly!D59</f>
        <v>Purdue</v>
      </c>
      <c r="H59" s="58" t="str">
        <f aca="false">Kim!D59</f>
        <v>Purdue</v>
      </c>
      <c r="I59" s="58" t="str">
        <f aca="false">Tucker!D59</f>
        <v>Purdue</v>
      </c>
    </row>
    <row r="60" customFormat="false" ht="15.75" hidden="false" customHeight="true" outlineLevel="0" collapsed="false">
      <c r="A60" s="55" t="s">
        <v>111</v>
      </c>
      <c r="B60" s="36" t="s">
        <v>207</v>
      </c>
      <c r="C60" s="85" t="n">
        <f aca="false">Master_Results!D56</f>
        <v>0</v>
      </c>
      <c r="D60" s="58" t="str">
        <f aca="false">Raman!D60</f>
        <v>Michigan</v>
      </c>
      <c r="E60" s="58" t="str">
        <f aca="false">Porter!D60</f>
        <v>Michigan</v>
      </c>
      <c r="F60" s="58" t="str">
        <f aca="false">Chuck!D60</f>
        <v>Michigan</v>
      </c>
      <c r="G60" s="58" t="str">
        <f aca="false">Shelly!D60</f>
        <v>Michigan</v>
      </c>
      <c r="H60" s="58" t="str">
        <f aca="false">Kim!D60</f>
        <v>Michigan</v>
      </c>
      <c r="I60" s="58" t="str">
        <f aca="false">Tucker!D60</f>
        <v>Michigan</v>
      </c>
    </row>
    <row r="61" customFormat="false" ht="15.75" hidden="false" customHeight="true" outlineLevel="0" collapsed="false">
      <c r="A61" s="55" t="s">
        <v>111</v>
      </c>
      <c r="B61" s="36" t="s">
        <v>209</v>
      </c>
      <c r="C61" s="85" t="n">
        <f aca="false">Master_Results!D57</f>
        <v>0</v>
      </c>
      <c r="D61" s="58" t="str">
        <f aca="false">Raman!D61</f>
        <v>Iowa</v>
      </c>
      <c r="E61" s="58" t="str">
        <f aca="false">Porter!D61</f>
        <v>Alabama</v>
      </c>
      <c r="F61" s="58" t="str">
        <f aca="false">Chuck!D61</f>
        <v>Alabama</v>
      </c>
      <c r="G61" s="58" t="str">
        <f aca="false">Shelly!D61</f>
        <v>Alabama</v>
      </c>
      <c r="H61" s="58" t="str">
        <f aca="false">Kim!D61</f>
        <v>Alabama</v>
      </c>
      <c r="I61" s="58" t="str">
        <f aca="false">Tucker!D61</f>
        <v>Virginia</v>
      </c>
    </row>
    <row r="62" customFormat="false" ht="18.75" hidden="false" customHeight="true" outlineLevel="0" collapsed="false">
      <c r="A62" s="37" t="s">
        <v>235</v>
      </c>
      <c r="B62" s="37"/>
      <c r="C62" s="37"/>
      <c r="D62" s="37"/>
      <c r="E62" s="37"/>
      <c r="F62" s="37"/>
      <c r="G62" s="37"/>
      <c r="H62" s="37"/>
      <c r="I62" s="37"/>
    </row>
    <row r="63" customFormat="false" ht="15.75" hidden="false" customHeight="true" outlineLevel="0" collapsed="false">
      <c r="A63" s="59" t="s">
        <v>112</v>
      </c>
      <c r="B63" s="39" t="s">
        <v>195</v>
      </c>
      <c r="C63" s="86" t="n">
        <f aca="false">Master_Results!D58</f>
        <v>0</v>
      </c>
      <c r="D63" s="62" t="str">
        <f aca="false">Raman!D63</f>
        <v>Duke</v>
      </c>
      <c r="E63" s="62" t="str">
        <f aca="false">Porter!D63</f>
        <v>UConn</v>
      </c>
      <c r="F63" s="62" t="str">
        <f aca="false">Chuck!D63</f>
        <v>Duke</v>
      </c>
      <c r="G63" s="62" t="str">
        <f aca="false">Shelly!D63</f>
        <v>Duke</v>
      </c>
      <c r="H63" s="62" t="str">
        <f aca="false">Kim!D63</f>
        <v>UConn</v>
      </c>
      <c r="I63" s="62" t="str">
        <f aca="false">Tucker!D63</f>
        <v>Duke</v>
      </c>
    </row>
    <row r="64" customFormat="false" ht="15.75" hidden="false" customHeight="true" outlineLevel="0" collapsed="false">
      <c r="A64" s="59" t="s">
        <v>112</v>
      </c>
      <c r="B64" s="39" t="s">
        <v>197</v>
      </c>
      <c r="C64" s="86" t="n">
        <f aca="false">Master_Results!D59</f>
        <v>0</v>
      </c>
      <c r="D64" s="62" t="str">
        <f aca="false">Raman!D64</f>
        <v>Houston</v>
      </c>
      <c r="E64" s="62" t="str">
        <f aca="false">Porter!D64</f>
        <v>Houston</v>
      </c>
      <c r="F64" s="62" t="str">
        <f aca="false">Chuck!D64</f>
        <v>Houston</v>
      </c>
      <c r="G64" s="62" t="str">
        <f aca="false">Shelly!D64</f>
        <v>Houston</v>
      </c>
      <c r="H64" s="62" t="str">
        <f aca="false">Kim!D64</f>
        <v>North Carolina</v>
      </c>
      <c r="I64" s="62" t="str">
        <f aca="false">Tucker!D64</f>
        <v>Illinois</v>
      </c>
    </row>
    <row r="65" customFormat="false" ht="15.75" hidden="false" customHeight="true" outlineLevel="0" collapsed="false">
      <c r="A65" s="59" t="s">
        <v>112</v>
      </c>
      <c r="B65" s="39" t="s">
        <v>199</v>
      </c>
      <c r="C65" s="86" t="n">
        <f aca="false">Master_Results!D60</f>
        <v>0</v>
      </c>
      <c r="D65" s="62" t="str">
        <f aca="false">Raman!D65</f>
        <v>Arizona</v>
      </c>
      <c r="E65" s="62" t="str">
        <f aca="false">Porter!D65</f>
        <v>Purdue</v>
      </c>
      <c r="F65" s="62" t="str">
        <f aca="false">Chuck!D65</f>
        <v>Arizona</v>
      </c>
      <c r="G65" s="62" t="str">
        <f aca="false">Shelly!D65</f>
        <v>Arizona</v>
      </c>
      <c r="H65" s="62" t="str">
        <f aca="false">Kim!D65</f>
        <v>Arizona</v>
      </c>
      <c r="I65" s="62" t="str">
        <f aca="false">Tucker!D65</f>
        <v>Purdue</v>
      </c>
    </row>
    <row r="66" customFormat="false" ht="15.75" hidden="false" customHeight="true" outlineLevel="0" collapsed="false">
      <c r="A66" s="59" t="s">
        <v>112</v>
      </c>
      <c r="B66" s="39" t="s">
        <v>201</v>
      </c>
      <c r="C66" s="86" t="n">
        <f aca="false">Master_Results!D61</f>
        <v>0</v>
      </c>
      <c r="D66" s="62" t="str">
        <f aca="false">Raman!D66</f>
        <v>Iowa</v>
      </c>
      <c r="E66" s="62" t="str">
        <f aca="false">Porter!D66</f>
        <v>Alabama</v>
      </c>
      <c r="F66" s="62" t="str">
        <f aca="false">Chuck!D66</f>
        <v>Michigan</v>
      </c>
      <c r="G66" s="62" t="str">
        <f aca="false">Shelly!D66</f>
        <v>Alabama</v>
      </c>
      <c r="H66" s="62" t="str">
        <f aca="false">Kim!D66</f>
        <v>Michigan</v>
      </c>
      <c r="I66" s="62" t="str">
        <f aca="false">Tucker!D66</f>
        <v>Michigan</v>
      </c>
    </row>
    <row r="67" customFormat="false" ht="18.75" hidden="false" customHeight="true" outlineLevel="0" collapsed="false">
      <c r="A67" s="40" t="s">
        <v>240</v>
      </c>
      <c r="B67" s="40"/>
      <c r="C67" s="40"/>
      <c r="D67" s="40"/>
      <c r="E67" s="40"/>
      <c r="F67" s="40"/>
      <c r="G67" s="40"/>
      <c r="H67" s="40"/>
      <c r="I67" s="40"/>
    </row>
    <row r="68" customFormat="false" ht="15.75" hidden="false" customHeight="true" outlineLevel="0" collapsed="false">
      <c r="A68" s="63" t="s">
        <v>241</v>
      </c>
      <c r="B68" s="42" t="s">
        <v>195</v>
      </c>
      <c r="C68" s="87" t="n">
        <f aca="false">Master_Results!D62</f>
        <v>0</v>
      </c>
      <c r="D68" s="66" t="str">
        <f aca="false">Raman!D68</f>
        <v>Duke</v>
      </c>
      <c r="E68" s="66" t="str">
        <f aca="false">Porter!D68</f>
        <v>UConn</v>
      </c>
      <c r="F68" s="66" t="str">
        <f aca="false">Chuck!D68</f>
        <v>Duke</v>
      </c>
      <c r="G68" s="66" t="str">
        <f aca="false">Shelly!D68</f>
        <v>Duke</v>
      </c>
      <c r="H68" s="66" t="str">
        <f aca="false">Kim!D68</f>
        <v>UConn</v>
      </c>
      <c r="I68" s="66" t="str">
        <f aca="false">Tucker!D68</f>
        <v>Duke</v>
      </c>
    </row>
    <row r="69" customFormat="false" ht="15.75" hidden="false" customHeight="true" outlineLevel="0" collapsed="false">
      <c r="A69" s="63" t="s">
        <v>241</v>
      </c>
      <c r="B69" s="42" t="s">
        <v>197</v>
      </c>
      <c r="C69" s="87" t="n">
        <f aca="false">Master_Results!D63</f>
        <v>0</v>
      </c>
      <c r="D69" s="66" t="str">
        <f aca="false">Raman!D69</f>
        <v>Iowa</v>
      </c>
      <c r="E69" s="66" t="str">
        <f aca="false">Porter!D69</f>
        <v>Purdue</v>
      </c>
      <c r="F69" s="66" t="str">
        <f aca="false">Chuck!D69</f>
        <v>Arizona</v>
      </c>
      <c r="G69" s="66" t="str">
        <f aca="false">Shelly!D69</f>
        <v>Alabama</v>
      </c>
      <c r="H69" s="66" t="str">
        <f aca="false">Kim!D69</f>
        <v>Arizona</v>
      </c>
      <c r="I69" s="66" t="str">
        <f aca="false">Tucker!D69</f>
        <v>Michigan</v>
      </c>
    </row>
    <row r="70" customFormat="false" ht="18.75" hidden="false" customHeight="true" outlineLevel="0" collapsed="false">
      <c r="A70" s="43" t="s">
        <v>244</v>
      </c>
      <c r="B70" s="43"/>
      <c r="C70" s="43"/>
      <c r="D70" s="43"/>
      <c r="E70" s="43"/>
      <c r="F70" s="43"/>
      <c r="G70" s="43"/>
      <c r="H70" s="43"/>
      <c r="I70" s="43"/>
    </row>
    <row r="71" customFormat="false" ht="15.75" hidden="false" customHeight="true" outlineLevel="0" collapsed="false">
      <c r="A71" s="67" t="s">
        <v>114</v>
      </c>
      <c r="B71" s="45" t="s">
        <v>195</v>
      </c>
      <c r="C71" s="88" t="n">
        <f aca="false">Master_Results!D64</f>
        <v>0</v>
      </c>
      <c r="D71" s="70" t="str">
        <f aca="false">Raman!D71</f>
        <v>Duke</v>
      </c>
      <c r="E71" s="70" t="str">
        <f aca="false">Porter!D71</f>
        <v>UConn</v>
      </c>
      <c r="F71" s="70" t="str">
        <f aca="false">Chuck!D71</f>
        <v>Duke</v>
      </c>
      <c r="G71" s="70" t="str">
        <f aca="false">Shelly!D71</f>
        <v>Duke</v>
      </c>
      <c r="H71" s="70" t="str">
        <f aca="false">Kim!D71</f>
        <v>Arizona</v>
      </c>
      <c r="I71" s="70" t="str">
        <f aca="false">Tucker!D71</f>
        <v>Duke</v>
      </c>
    </row>
  </sheetData>
  <mergeCells count="7">
    <mergeCell ref="A1:J1"/>
    <mergeCell ref="A3:I3"/>
    <mergeCell ref="A36:I36"/>
    <mergeCell ref="A53:I53"/>
    <mergeCell ref="A62:I62"/>
    <mergeCell ref="A67:I67"/>
    <mergeCell ref="A70:I70"/>
  </mergeCells>
  <conditionalFormatting sqref="D3:I71">
    <cfRule type="expression" priority="2" aboveAverage="0" equalAverage="0" bottom="0" percent="0" rank="0" text="" dxfId="3">
      <formula>AND($C3&lt;&gt;"",D3=$C3)</formula>
    </cfRule>
    <cfRule type="expression" priority="3" aboveAverage="0" equalAverage="0" bottom="0" percent="0" rank="0" text="" dxfId="4">
      <formula>AND($C3&lt;&gt;"",D3&lt;&gt;$C3)</formula>
    </cfRule>
  </conditionalFormatting>
  <conditionalFormatting sqref="C3:C71">
    <cfRule type="expression" priority="4" aboveAverage="0" equalAverage="0" bottom="0" percent="0" rank="0" text="" dxfId="3">
      <formula>$C3&lt;&gt;""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25.5" hidden="false" customHeight="true" outlineLevel="0" collapsed="false">
      <c r="A1" s="89" t="s">
        <v>310</v>
      </c>
      <c r="B1" s="89"/>
      <c r="C1" s="89"/>
    </row>
    <row r="2" customFormat="false" ht="19.5" hidden="false" customHeight="true" outlineLevel="0" collapsed="false">
      <c r="A2" s="90" t="s">
        <v>311</v>
      </c>
      <c r="B2" s="90" t="s">
        <v>312</v>
      </c>
      <c r="C2" s="90" t="s">
        <v>313</v>
      </c>
    </row>
    <row r="3" customFormat="false" ht="15.75" hidden="false" customHeight="true" outlineLevel="0" collapsed="false">
      <c r="A3" s="91"/>
      <c r="B3" s="91"/>
      <c r="C3" s="91"/>
    </row>
    <row r="4" customFormat="false" ht="15.75" hidden="false" customHeight="true" outlineLevel="0" collapsed="false">
      <c r="A4" s="91"/>
      <c r="B4" s="91"/>
      <c r="C4" s="91"/>
    </row>
    <row r="5" customFormat="false" ht="15.75" hidden="false" customHeight="true" outlineLevel="0" collapsed="false">
      <c r="A5" s="91"/>
      <c r="B5" s="91"/>
      <c r="C5" s="91"/>
    </row>
    <row r="6" customFormat="false" ht="15.75" hidden="false" customHeight="true" outlineLevel="0" collapsed="false">
      <c r="A6" s="91"/>
      <c r="B6" s="91"/>
      <c r="C6" s="91"/>
    </row>
    <row r="7" customFormat="false" ht="15.75" hidden="false" customHeight="true" outlineLevel="0" collapsed="false">
      <c r="A7" s="91"/>
      <c r="B7" s="91"/>
      <c r="C7" s="91"/>
    </row>
    <row r="8" customFormat="false" ht="15.75" hidden="false" customHeight="true" outlineLevel="0" collapsed="false">
      <c r="A8" s="91"/>
      <c r="B8" s="91"/>
      <c r="C8" s="91"/>
    </row>
    <row r="9" customFormat="false" ht="15.75" hidden="false" customHeight="true" outlineLevel="0" collapsed="false">
      <c r="A9" s="91"/>
      <c r="B9" s="91"/>
      <c r="C9" s="91"/>
    </row>
    <row r="10" customFormat="false" ht="15.75" hidden="false" customHeight="true" outlineLevel="0" collapsed="false">
      <c r="A10" s="91"/>
      <c r="B10" s="91"/>
      <c r="C10" s="91"/>
    </row>
    <row r="11" customFormat="false" ht="15.75" hidden="false" customHeight="true" outlineLevel="0" collapsed="false">
      <c r="A11" s="91"/>
      <c r="B11" s="91"/>
      <c r="C11" s="91"/>
    </row>
    <row r="12" customFormat="false" ht="15.75" hidden="false" customHeight="true" outlineLevel="0" collapsed="false">
      <c r="A12" s="91"/>
      <c r="B12" s="91"/>
      <c r="C12" s="91"/>
    </row>
    <row r="13" customFormat="false" ht="15.75" hidden="false" customHeight="true" outlineLevel="0" collapsed="false">
      <c r="A13" s="91"/>
      <c r="B13" s="91"/>
      <c r="C13" s="91"/>
    </row>
    <row r="14" customFormat="false" ht="15.75" hidden="false" customHeight="true" outlineLevel="0" collapsed="false">
      <c r="A14" s="91"/>
      <c r="B14" s="91"/>
      <c r="C14" s="91"/>
    </row>
    <row r="15" customFormat="false" ht="15.75" hidden="false" customHeight="true" outlineLevel="0" collapsed="false">
      <c r="A15" s="91"/>
      <c r="B15" s="91"/>
      <c r="C15" s="91"/>
    </row>
    <row r="16" customFormat="false" ht="15.75" hidden="false" customHeight="true" outlineLevel="0" collapsed="false">
      <c r="A16" s="91"/>
      <c r="B16" s="91"/>
      <c r="C16" s="91"/>
    </row>
    <row r="17" customFormat="false" ht="15.75" hidden="false" customHeight="true" outlineLevel="0" collapsed="false">
      <c r="A17" s="91"/>
      <c r="B17" s="91"/>
      <c r="C17" s="91"/>
    </row>
    <row r="18" customFormat="false" ht="15.75" hidden="false" customHeight="true" outlineLevel="0" collapsed="false">
      <c r="A18" s="91"/>
      <c r="B18" s="91"/>
      <c r="C18" s="91"/>
    </row>
    <row r="19" customFormat="false" ht="15.75" hidden="false" customHeight="true" outlineLevel="0" collapsed="false">
      <c r="A19" s="91"/>
      <c r="B19" s="91"/>
      <c r="C19" s="91"/>
    </row>
    <row r="20" customFormat="false" ht="15.75" hidden="false" customHeight="true" outlineLevel="0" collapsed="false">
      <c r="A20" s="91"/>
      <c r="B20" s="91"/>
      <c r="C20" s="91"/>
    </row>
    <row r="21" customFormat="false" ht="15.75" hidden="false" customHeight="true" outlineLevel="0" collapsed="false">
      <c r="A21" s="91"/>
      <c r="B21" s="91"/>
      <c r="C21" s="91"/>
    </row>
    <row r="22" customFormat="false" ht="15.75" hidden="false" customHeight="true" outlineLevel="0" collapsed="false">
      <c r="A22" s="91"/>
      <c r="B22" s="91"/>
      <c r="C22" s="91"/>
    </row>
    <row r="23" customFormat="false" ht="15.75" hidden="false" customHeight="true" outlineLevel="0" collapsed="false">
      <c r="A23" s="91"/>
      <c r="B23" s="91"/>
      <c r="C23" s="91"/>
    </row>
    <row r="24" customFormat="false" ht="15.75" hidden="false" customHeight="true" outlineLevel="0" collapsed="false">
      <c r="A24" s="91"/>
      <c r="B24" s="91"/>
      <c r="C24" s="91"/>
    </row>
    <row r="25" customFormat="false" ht="15.75" hidden="false" customHeight="true" outlineLevel="0" collapsed="false">
      <c r="A25" s="91"/>
      <c r="B25" s="91"/>
      <c r="C25" s="91"/>
    </row>
    <row r="26" customFormat="false" ht="15.75" hidden="false" customHeight="true" outlineLevel="0" collapsed="false">
      <c r="A26" s="91"/>
      <c r="B26" s="91"/>
      <c r="C26" s="91"/>
    </row>
    <row r="27" customFormat="false" ht="15.75" hidden="false" customHeight="true" outlineLevel="0" collapsed="false">
      <c r="A27" s="91"/>
      <c r="B27" s="91"/>
      <c r="C27" s="91"/>
    </row>
    <row r="28" customFormat="false" ht="15.75" hidden="false" customHeight="true" outlineLevel="0" collapsed="false">
      <c r="A28" s="91"/>
      <c r="B28" s="91"/>
      <c r="C28" s="91"/>
    </row>
    <row r="29" customFormat="false" ht="15.75" hidden="false" customHeight="true" outlineLevel="0" collapsed="false">
      <c r="A29" s="91"/>
      <c r="B29" s="91"/>
      <c r="C29" s="91"/>
    </row>
    <row r="30" customFormat="false" ht="15.75" hidden="false" customHeight="true" outlineLevel="0" collapsed="false">
      <c r="A30" s="91"/>
      <c r="B30" s="91"/>
      <c r="C30" s="91"/>
    </row>
    <row r="31" customFormat="false" ht="15.75" hidden="false" customHeight="true" outlineLevel="0" collapsed="false">
      <c r="A31" s="91"/>
      <c r="B31" s="91"/>
      <c r="C31" s="91"/>
    </row>
    <row r="32" customFormat="false" ht="15.75" hidden="false" customHeight="true" outlineLevel="0" collapsed="false">
      <c r="A32" s="91"/>
      <c r="B32" s="91"/>
      <c r="C32" s="91"/>
    </row>
    <row r="33" customFormat="false" ht="15.75" hidden="false" customHeight="true" outlineLevel="0" collapsed="false">
      <c r="A33" s="91"/>
      <c r="B33" s="91"/>
      <c r="C33" s="91"/>
    </row>
    <row r="34" customFormat="false" ht="15.75" hidden="false" customHeight="true" outlineLevel="0" collapsed="false">
      <c r="A34" s="91"/>
      <c r="B34" s="91"/>
      <c r="C34" s="91"/>
    </row>
    <row r="35" customFormat="false" ht="15.75" hidden="false" customHeight="true" outlineLevel="0" collapsed="false">
      <c r="A35" s="91"/>
      <c r="B35" s="91"/>
      <c r="C35" s="91"/>
    </row>
    <row r="36" customFormat="false" ht="15.75" hidden="false" customHeight="true" outlineLevel="0" collapsed="false">
      <c r="A36" s="91"/>
      <c r="B36" s="91"/>
      <c r="C36" s="91"/>
    </row>
    <row r="37" customFormat="false" ht="15.75" hidden="false" customHeight="true" outlineLevel="0" collapsed="false">
      <c r="A37" s="91"/>
      <c r="B37" s="91"/>
      <c r="C37" s="91"/>
    </row>
    <row r="38" customFormat="false" ht="15.75" hidden="false" customHeight="true" outlineLevel="0" collapsed="false">
      <c r="A38" s="91"/>
      <c r="B38" s="91"/>
      <c r="C38" s="91"/>
    </row>
    <row r="39" customFormat="false" ht="15.75" hidden="false" customHeight="true" outlineLevel="0" collapsed="false">
      <c r="A39" s="91"/>
      <c r="B39" s="91"/>
      <c r="C39" s="91"/>
    </row>
    <row r="40" customFormat="false" ht="15.75" hidden="false" customHeight="true" outlineLevel="0" collapsed="false">
      <c r="A40" s="91"/>
      <c r="B40" s="91"/>
      <c r="C40" s="91"/>
    </row>
    <row r="41" customFormat="false" ht="15.75" hidden="false" customHeight="true" outlineLevel="0" collapsed="false">
      <c r="A41" s="91"/>
      <c r="B41" s="91"/>
      <c r="C41" s="91"/>
    </row>
    <row r="42" customFormat="false" ht="15.75" hidden="false" customHeight="true" outlineLevel="0" collapsed="false">
      <c r="A42" s="91"/>
      <c r="B42" s="91"/>
      <c r="C42" s="91"/>
    </row>
    <row r="43" customFormat="false" ht="15.75" hidden="false" customHeight="true" outlineLevel="0" collapsed="false">
      <c r="A43" s="91"/>
      <c r="B43" s="91"/>
      <c r="C43" s="91"/>
    </row>
    <row r="44" customFormat="false" ht="15.75" hidden="false" customHeight="true" outlineLevel="0" collapsed="false">
      <c r="A44" s="91"/>
      <c r="B44" s="91"/>
      <c r="C44" s="91"/>
    </row>
    <row r="45" customFormat="false" ht="15.75" hidden="false" customHeight="true" outlineLevel="0" collapsed="false">
      <c r="A45" s="91"/>
      <c r="B45" s="91"/>
      <c r="C45" s="91"/>
    </row>
    <row r="46" customFormat="false" ht="15.75" hidden="false" customHeight="true" outlineLevel="0" collapsed="false">
      <c r="A46" s="91"/>
      <c r="B46" s="91"/>
      <c r="C46" s="91"/>
    </row>
    <row r="47" customFormat="false" ht="15.75" hidden="false" customHeight="true" outlineLevel="0" collapsed="false">
      <c r="A47" s="91"/>
      <c r="B47" s="91"/>
      <c r="C47" s="91"/>
    </row>
    <row r="48" customFormat="false" ht="15.75" hidden="false" customHeight="true" outlineLevel="0" collapsed="false">
      <c r="A48" s="91"/>
      <c r="B48" s="91"/>
      <c r="C48" s="91"/>
    </row>
    <row r="49" customFormat="false" ht="15.75" hidden="false" customHeight="true" outlineLevel="0" collapsed="false">
      <c r="A49" s="91"/>
      <c r="B49" s="91"/>
      <c r="C49" s="91"/>
    </row>
    <row r="50" customFormat="false" ht="15.75" hidden="false" customHeight="true" outlineLevel="0" collapsed="false">
      <c r="A50" s="91"/>
      <c r="B50" s="91"/>
      <c r="C50" s="91"/>
    </row>
    <row r="51" customFormat="false" ht="15.75" hidden="false" customHeight="true" outlineLevel="0" collapsed="false">
      <c r="A51" s="91"/>
      <c r="B51" s="91"/>
      <c r="C51" s="91"/>
    </row>
    <row r="52" customFormat="false" ht="15.75" hidden="false" customHeight="true" outlineLevel="0" collapsed="false">
      <c r="A52" s="91"/>
      <c r="B52" s="91"/>
      <c r="C52" s="91"/>
    </row>
    <row r="53" customFormat="false" ht="15.75" hidden="false" customHeight="true" outlineLevel="0" collapsed="false">
      <c r="A53" s="91"/>
      <c r="B53" s="91"/>
      <c r="C53" s="91"/>
    </row>
    <row r="54" customFormat="false" ht="15.75" hidden="false" customHeight="true" outlineLevel="0" collapsed="false">
      <c r="A54" s="91"/>
      <c r="B54" s="91"/>
      <c r="C54" s="91"/>
    </row>
    <row r="55" customFormat="false" ht="15.75" hidden="false" customHeight="true" outlineLevel="0" collapsed="false">
      <c r="A55" s="91"/>
      <c r="B55" s="91"/>
      <c r="C55" s="91"/>
    </row>
    <row r="56" customFormat="false" ht="15.75" hidden="false" customHeight="true" outlineLevel="0" collapsed="false">
      <c r="A56" s="91"/>
      <c r="B56" s="91"/>
      <c r="C56" s="91"/>
    </row>
    <row r="57" customFormat="false" ht="15.75" hidden="false" customHeight="true" outlineLevel="0" collapsed="false">
      <c r="A57" s="91"/>
      <c r="B57" s="91"/>
      <c r="C57" s="91"/>
    </row>
    <row r="58" customFormat="false" ht="15.75" hidden="false" customHeight="true" outlineLevel="0" collapsed="false">
      <c r="A58" s="91"/>
      <c r="B58" s="91"/>
      <c r="C58" s="91"/>
    </row>
    <row r="59" customFormat="false" ht="15.75" hidden="false" customHeight="true" outlineLevel="0" collapsed="false">
      <c r="A59" s="91"/>
      <c r="B59" s="91"/>
      <c r="C59" s="91"/>
    </row>
    <row r="60" customFormat="false" ht="15.75" hidden="false" customHeight="true" outlineLevel="0" collapsed="false">
      <c r="A60" s="91"/>
      <c r="B60" s="91"/>
      <c r="C60" s="91"/>
    </row>
    <row r="61" customFormat="false" ht="15.75" hidden="false" customHeight="true" outlineLevel="0" collapsed="false">
      <c r="A61" s="91"/>
      <c r="B61" s="91"/>
      <c r="C61" s="91"/>
    </row>
    <row r="62" customFormat="false" ht="15.75" hidden="false" customHeight="true" outlineLevel="0" collapsed="false">
      <c r="A62" s="91"/>
      <c r="B62" s="91"/>
      <c r="C62" s="91"/>
    </row>
    <row r="63" customFormat="false" ht="15.75" hidden="false" customHeight="true" outlineLevel="0" collapsed="false">
      <c r="A63" s="91"/>
      <c r="B63" s="91"/>
      <c r="C63" s="91"/>
    </row>
    <row r="64" customFormat="false" ht="15.75" hidden="false" customHeight="true" outlineLevel="0" collapsed="false">
      <c r="A64" s="91"/>
      <c r="B64" s="91"/>
      <c r="C64" s="91"/>
    </row>
    <row r="65" customFormat="false" ht="15.75" hidden="false" customHeight="true" outlineLevel="0" collapsed="false">
      <c r="A65" s="91"/>
      <c r="B65" s="91"/>
      <c r="C65" s="91"/>
    </row>
    <row r="66" customFormat="false" ht="15.75" hidden="false" customHeight="true" outlineLevel="0" collapsed="false">
      <c r="A66" s="91"/>
      <c r="B66" s="91"/>
      <c r="C66" s="91"/>
    </row>
    <row r="67" customFormat="false" ht="15.75" hidden="false" customHeight="true" outlineLevel="0" collapsed="false">
      <c r="A67" s="91"/>
      <c r="B67" s="91"/>
      <c r="C67" s="91"/>
    </row>
    <row r="68" customFormat="false" ht="15.75" hidden="false" customHeight="true" outlineLevel="0" collapsed="false">
      <c r="A68" s="91"/>
      <c r="B68" s="91"/>
      <c r="C68" s="91"/>
    </row>
    <row r="69" customFormat="false" ht="15.75" hidden="false" customHeight="true" outlineLevel="0" collapsed="false">
      <c r="A69" s="91"/>
      <c r="B69" s="91"/>
      <c r="C69" s="91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2026-03-19T19:09:58Z</dcterms:created>
  <dc:creator>openpyxl</dc:creator>
  <dc:description/>
  <dc:language>en-US</dc:language>
  <cp:lastModifiedBy/>
  <dcterms:modified xsi:type="dcterms:W3CDTF">2026-03-19T19:29:57Z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